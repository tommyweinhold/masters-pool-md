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tommyweinhold/Downloads/"/>
    </mc:Choice>
  </mc:AlternateContent>
  <xr:revisionPtr revIDLastSave="0" documentId="8_{DF5B4A09-69C3-5C4C-903C-4EA76C46AD0B}" xr6:coauthVersionLast="47" xr6:coauthVersionMax="47" xr10:uidLastSave="{00000000-0000-0000-0000-000000000000}"/>
  <bookViews>
    <workbookView xWindow="0" yWindow="500" windowWidth="28800" windowHeight="16140" activeTab="2" xr2:uid="{00000000-000D-0000-FFFF-FFFF00000000}"/>
  </bookViews>
  <sheets>
    <sheet name="Masters Field &amp; Odds" sheetId="1" r:id="rId1"/>
    <sheet name="Pool Settings" sheetId="2" r:id="rId2"/>
    <sheet name="Auction Draft" sheetId="3" r:id="rId3"/>
  </sheets>
  <definedNames>
    <definedName name="Draft_Grid">OFFSET('Auction Draft'!$B$3,0,0,'Pool Settings'!$C$6,'Pool Settings'!$C$7)</definedName>
    <definedName name="Participants_List">OFFSET('Pool Settings'!$B$17,0,0,'Pool Settings'!$C$6,1)</definedName>
    <definedName name="Participants_Number">OFFSET('Pool Settings'!$A$17,0,0,'Pool Settings'!$C$6,1)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xMKEa+F8KJF6kkCV0KL0f2H5CuEH/qGryjM3ithbjI="/>
    </ext>
  </extLst>
</workbook>
</file>

<file path=xl/calcChain.xml><?xml version="1.0" encoding="utf-8"?>
<calcChain xmlns="http://schemas.openxmlformats.org/spreadsheetml/2006/main">
  <c r="M19" i="3" l="1"/>
  <c r="B19" i="3" a="1"/>
  <c r="B19" i="3" s="1"/>
  <c r="M18" i="3"/>
  <c r="B18" i="3" a="1"/>
  <c r="B18" i="3" s="1"/>
  <c r="M17" i="3"/>
  <c r="B17" i="3" a="1"/>
  <c r="B17" i="3" s="1"/>
  <c r="M16" i="3"/>
  <c r="B16" i="3" a="1"/>
  <c r="B16" i="3" s="1"/>
  <c r="M15" i="3"/>
  <c r="B15" i="3" a="1"/>
  <c r="B15" i="3" s="1"/>
  <c r="M14" i="3"/>
  <c r="B14" i="3" a="1"/>
  <c r="B14" i="3" s="1"/>
  <c r="M13" i="3"/>
  <c r="B13" i="3" a="1"/>
  <c r="B13" i="3" s="1"/>
  <c r="M12" i="3"/>
  <c r="B12" i="3" a="1"/>
  <c r="B12" i="3" s="1"/>
  <c r="M11" i="3"/>
  <c r="B11" i="3" a="1"/>
  <c r="B11" i="3" s="1"/>
  <c r="M10" i="3"/>
  <c r="B10" i="3" a="1"/>
  <c r="B10" i="3" s="1"/>
  <c r="A10" i="3" s="1"/>
  <c r="M9" i="3"/>
  <c r="B9" i="3" a="1"/>
  <c r="B9" i="3" s="1"/>
  <c r="A9" i="3" s="1"/>
  <c r="M8" i="3"/>
  <c r="B8" i="3" a="1"/>
  <c r="B8" i="3" s="1"/>
  <c r="A8" i="3" s="1"/>
  <c r="M7" i="3"/>
  <c r="B7" i="3" a="1"/>
  <c r="B7" i="3" s="1"/>
  <c r="A7" i="3" s="1"/>
  <c r="M6" i="3"/>
  <c r="B6" i="3" a="1"/>
  <c r="B6" i="3" s="1"/>
  <c r="A6" i="3" s="1"/>
  <c r="M5" i="3"/>
  <c r="B5" i="3" a="1"/>
  <c r="B5" i="3" s="1"/>
  <c r="A5" i="3" s="1"/>
  <c r="K4" i="3"/>
  <c r="I4" i="3"/>
  <c r="G4" i="3"/>
  <c r="E4" i="3"/>
  <c r="C4" i="3"/>
  <c r="B3" i="3"/>
  <c r="D10" i="2" s="1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C11" i="2"/>
  <c r="D8" i="2"/>
  <c r="E96" i="1" a="1"/>
  <c r="E96" i="1" s="1"/>
  <c r="E95" i="1" a="1"/>
  <c r="E95" i="1" s="1"/>
  <c r="E94" i="1" a="1"/>
  <c r="E94" i="1" s="1"/>
  <c r="E93" i="1" a="1"/>
  <c r="E93" i="1" s="1"/>
  <c r="E92" i="1" a="1"/>
  <c r="E92" i="1" s="1"/>
  <c r="E91" i="1" a="1"/>
  <c r="E91" i="1" s="1"/>
  <c r="E90" i="1" a="1"/>
  <c r="E90" i="1" s="1"/>
  <c r="E89" i="1" a="1"/>
  <c r="E89" i="1" s="1"/>
  <c r="E88" i="1" a="1"/>
  <c r="E88" i="1" s="1"/>
  <c r="E87" i="1" a="1"/>
  <c r="E87" i="1" s="1"/>
  <c r="E86" i="1" a="1"/>
  <c r="E86" i="1" s="1"/>
  <c r="E85" i="1" a="1"/>
  <c r="E85" i="1" s="1"/>
  <c r="E84" i="1" a="1"/>
  <c r="E84" i="1" s="1"/>
  <c r="E83" i="1" a="1"/>
  <c r="E83" i="1" s="1"/>
  <c r="E82" i="1" a="1"/>
  <c r="E82" i="1" s="1"/>
  <c r="E81" i="1" a="1"/>
  <c r="E81" i="1" s="1"/>
  <c r="E80" i="1" a="1"/>
  <c r="E80" i="1" s="1"/>
  <c r="E79" i="1" a="1"/>
  <c r="E79" i="1" s="1"/>
  <c r="E78" i="1" a="1"/>
  <c r="E78" i="1" s="1"/>
  <c r="E77" i="1" a="1"/>
  <c r="E77" i="1" s="1"/>
  <c r="E76" i="1" a="1"/>
  <c r="E76" i="1" s="1"/>
  <c r="E75" i="1" a="1"/>
  <c r="E75" i="1" s="1"/>
  <c r="E74" i="1" a="1"/>
  <c r="E74" i="1" s="1"/>
  <c r="E73" i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I12" i="3" l="1"/>
  <c r="G12" i="3"/>
  <c r="E12" i="3"/>
  <c r="C12" i="3"/>
  <c r="A12" i="3"/>
  <c r="K12" i="3"/>
  <c r="A16" i="3"/>
  <c r="K16" i="3"/>
  <c r="I16" i="3"/>
  <c r="G16" i="3"/>
  <c r="E16" i="3"/>
  <c r="C16" i="3"/>
  <c r="A17" i="3"/>
  <c r="K17" i="3"/>
  <c r="I17" i="3"/>
  <c r="G17" i="3"/>
  <c r="E17" i="3"/>
  <c r="C17" i="3"/>
  <c r="K11" i="3"/>
  <c r="I11" i="3"/>
  <c r="G11" i="3"/>
  <c r="E11" i="3"/>
  <c r="C11" i="3"/>
  <c r="A11" i="3"/>
  <c r="C15" i="3"/>
  <c r="A15" i="3"/>
  <c r="K15" i="3"/>
  <c r="I15" i="3"/>
  <c r="G15" i="3"/>
  <c r="E15" i="3"/>
  <c r="G13" i="3"/>
  <c r="E13" i="3"/>
  <c r="C13" i="3"/>
  <c r="A13" i="3"/>
  <c r="K13" i="3"/>
  <c r="I13" i="3"/>
  <c r="E14" i="3"/>
  <c r="C14" i="3"/>
  <c r="A14" i="3"/>
  <c r="K14" i="3"/>
  <c r="I14" i="3"/>
  <c r="G14" i="3"/>
  <c r="A18" i="3"/>
  <c r="K18" i="3"/>
  <c r="I18" i="3"/>
  <c r="G18" i="3"/>
  <c r="E18" i="3"/>
  <c r="C18" i="3"/>
  <c r="A19" i="3"/>
  <c r="K19" i="3"/>
  <c r="I19" i="3"/>
  <c r="G19" i="3"/>
  <c r="E19" i="3"/>
  <c r="C19" i="3"/>
  <c r="D9" i="2"/>
</calcChain>
</file>

<file path=xl/sharedStrings.xml><?xml version="1.0" encoding="utf-8"?>
<sst xmlns="http://schemas.openxmlformats.org/spreadsheetml/2006/main" count="909" uniqueCount="280">
  <si>
    <t>⛳  2026 MASTERS TOURNAMENT  –  FULL FIELD &amp; OPENING ODDS</t>
  </si>
  <si>
    <t>Source: Easy Office Pools |  Sorted: Best Odds → Longest Odds  |  As of April 7, 2026</t>
  </si>
  <si>
    <t>Masters Past Performance</t>
  </si>
  <si>
    <t>2026 PGA Tour Recent Performance</t>
  </si>
  <si>
    <t>Golfer</t>
  </si>
  <si>
    <t>Tier</t>
  </si>
  <si>
    <t>Rank</t>
  </si>
  <si>
    <t>Odds</t>
  </si>
  <si>
    <t>Starting Bid</t>
  </si>
  <si>
    <t>2025</t>
  </si>
  <si>
    <t>2024</t>
  </si>
  <si>
    <t>2023</t>
  </si>
  <si>
    <t>2022</t>
  </si>
  <si>
    <t>2021</t>
  </si>
  <si>
    <t>Valero</t>
  </si>
  <si>
    <t>Houston</t>
  </si>
  <si>
    <t>Valspar</t>
  </si>
  <si>
    <t>Players</t>
  </si>
  <si>
    <t>Puerto Rico</t>
  </si>
  <si>
    <t>Arnold Palmer</t>
  </si>
  <si>
    <t>Cognizant</t>
  </si>
  <si>
    <t>Genesis</t>
  </si>
  <si>
    <t>Pebble</t>
  </si>
  <si>
    <t>WM</t>
  </si>
  <si>
    <t>Farmers</t>
  </si>
  <si>
    <t>AmEx</t>
  </si>
  <si>
    <t>Scottie Scheffler</t>
  </si>
  <si>
    <t>4/1</t>
  </si>
  <si>
    <t>T10</t>
  </si>
  <si>
    <t>T18</t>
  </si>
  <si>
    <t>T22</t>
  </si>
  <si>
    <t>T24</t>
  </si>
  <si>
    <t>T12</t>
  </si>
  <si>
    <t>T4</t>
  </si>
  <si>
    <t>T3</t>
  </si>
  <si>
    <t>Jon Rahm</t>
  </si>
  <si>
    <t>9/1</t>
  </si>
  <si>
    <t>T14</t>
  </si>
  <si>
    <t>T45</t>
  </si>
  <si>
    <t>T27</t>
  </si>
  <si>
    <t>T5</t>
  </si>
  <si>
    <t>Rory McIlroy</t>
  </si>
  <si>
    <t>10/1</t>
  </si>
  <si>
    <t>CUT</t>
  </si>
  <si>
    <t>T46</t>
  </si>
  <si>
    <t>WD</t>
  </si>
  <si>
    <t>T2</t>
  </si>
  <si>
    <t>Bryson DeChambeau</t>
  </si>
  <si>
    <t>11/1</t>
  </si>
  <si>
    <t>T6</t>
  </si>
  <si>
    <t>Ludvig Aberg</t>
  </si>
  <si>
    <t>18/1</t>
  </si>
  <si>
    <t>T20</t>
  </si>
  <si>
    <t>T37</t>
  </si>
  <si>
    <t>Xander Schauffele</t>
  </si>
  <si>
    <t>19/1</t>
  </si>
  <si>
    <t>T8</t>
  </si>
  <si>
    <t>T7</t>
  </si>
  <si>
    <t>T19</t>
  </si>
  <si>
    <t>T41</t>
  </si>
  <si>
    <t>Cameron Young</t>
  </si>
  <si>
    <t>24/1</t>
  </si>
  <si>
    <t>T9</t>
  </si>
  <si>
    <t>T55</t>
  </si>
  <si>
    <t>Tommy Fleetwood</t>
  </si>
  <si>
    <t>25/1</t>
  </si>
  <si>
    <t>T21</t>
  </si>
  <si>
    <t>Matt Fitzpatrick</t>
  </si>
  <si>
    <t>26/1</t>
  </si>
  <si>
    <t>T40</t>
  </si>
  <si>
    <t>T34</t>
  </si>
  <si>
    <t>T63</t>
  </si>
  <si>
    <t>Collin Morikawa</t>
  </si>
  <si>
    <t>31/1</t>
  </si>
  <si>
    <t>T54</t>
  </si>
  <si>
    <t>Justin Rose</t>
  </si>
  <si>
    <t>36/1</t>
  </si>
  <si>
    <t>T16</t>
  </si>
  <si>
    <t>T13</t>
  </si>
  <si>
    <t>Jordan Spieth</t>
  </si>
  <si>
    <t>38/1</t>
  </si>
  <si>
    <t>T11</t>
  </si>
  <si>
    <t>T32</t>
  </si>
  <si>
    <t>T29</t>
  </si>
  <si>
    <t>Brooks Koepka</t>
  </si>
  <si>
    <t>T56</t>
  </si>
  <si>
    <t>Hideki Matsuyama</t>
  </si>
  <si>
    <t>39/1</t>
  </si>
  <si>
    <t>T38</t>
  </si>
  <si>
    <t>T28</t>
  </si>
  <si>
    <t>Robert MacIntyre</t>
  </si>
  <si>
    <t>40/1</t>
  </si>
  <si>
    <t>Russell Henley</t>
  </si>
  <si>
    <t>42/1</t>
  </si>
  <si>
    <t>T30</t>
  </si>
  <si>
    <t>Chris Gotterup</t>
  </si>
  <si>
    <t>43/1</t>
  </si>
  <si>
    <t>Patrick Reed</t>
  </si>
  <si>
    <t>45/1</t>
  </si>
  <si>
    <t>T35</t>
  </si>
  <si>
    <t>Viktor Hovland</t>
  </si>
  <si>
    <t>46/1</t>
  </si>
  <si>
    <t>T58</t>
  </si>
  <si>
    <t>Si Woo Kim</t>
  </si>
  <si>
    <t>47/1</t>
  </si>
  <si>
    <t>T39</t>
  </si>
  <si>
    <t>T50</t>
  </si>
  <si>
    <t>Min Woo Lee</t>
  </si>
  <si>
    <t>54/1</t>
  </si>
  <si>
    <t>Justin Thomas</t>
  </si>
  <si>
    <t>55/1</t>
  </si>
  <si>
    <t>T36</t>
  </si>
  <si>
    <t>Patrick Cantlay</t>
  </si>
  <si>
    <t>57/1</t>
  </si>
  <si>
    <t>Adam Scott</t>
  </si>
  <si>
    <t>62/1</t>
  </si>
  <si>
    <t>T48</t>
  </si>
  <si>
    <t>Akshay Bhatia</t>
  </si>
  <si>
    <t>66/1</t>
  </si>
  <si>
    <t>T42</t>
  </si>
  <si>
    <t>Sepp Straka</t>
  </si>
  <si>
    <t>67/1</t>
  </si>
  <si>
    <t>Tyrrell Hatton</t>
  </si>
  <si>
    <t>69/1</t>
  </si>
  <si>
    <t>Jason Day</t>
  </si>
  <si>
    <t>T59</t>
  </si>
  <si>
    <t>Jake Knapp</t>
  </si>
  <si>
    <t>Shane Lowry</t>
  </si>
  <si>
    <t>70/1</t>
  </si>
  <si>
    <t>T43</t>
  </si>
  <si>
    <t>Sam Burns</t>
  </si>
  <si>
    <t>72/1</t>
  </si>
  <si>
    <t>Corey Conners</t>
  </si>
  <si>
    <t>82/1</t>
  </si>
  <si>
    <t>T33</t>
  </si>
  <si>
    <t>T70</t>
  </si>
  <si>
    <t>Nicolai Hojgaard</t>
  </si>
  <si>
    <t>84/1</t>
  </si>
  <si>
    <t>J.J. Spaun</t>
  </si>
  <si>
    <t>88/1</t>
  </si>
  <si>
    <t>T23</t>
  </si>
  <si>
    <t>Kurt Kitayama</t>
  </si>
  <si>
    <t>T60</t>
  </si>
  <si>
    <t>Jacob Bridgeman</t>
  </si>
  <si>
    <t>94/1</t>
  </si>
  <si>
    <t>Maverick McNealy</t>
  </si>
  <si>
    <t>98/1</t>
  </si>
  <si>
    <t>Matthew McCarty</t>
  </si>
  <si>
    <t>100/1</t>
  </si>
  <si>
    <t>T67</t>
  </si>
  <si>
    <t>Cameron Smith</t>
  </si>
  <si>
    <t>Harris English</t>
  </si>
  <si>
    <t>105/1</t>
  </si>
  <si>
    <t>Ben Griffin</t>
  </si>
  <si>
    <t>110/1</t>
  </si>
  <si>
    <t>Daniel Berger</t>
  </si>
  <si>
    <t>T66</t>
  </si>
  <si>
    <t>T75</t>
  </si>
  <si>
    <t>Gary Woodland</t>
  </si>
  <si>
    <t>T64</t>
  </si>
  <si>
    <t>Max Homa</t>
  </si>
  <si>
    <t>115/1</t>
  </si>
  <si>
    <t>Sungjae Im</t>
  </si>
  <si>
    <t>120/1</t>
  </si>
  <si>
    <t>Rasmus Hojgaard</t>
  </si>
  <si>
    <t>130/1</t>
  </si>
  <si>
    <t>T68</t>
  </si>
  <si>
    <t>T44</t>
  </si>
  <si>
    <t>Keegan Bradley</t>
  </si>
  <si>
    <t>140/1</t>
  </si>
  <si>
    <t>Marco Penge</t>
  </si>
  <si>
    <t>160/1</t>
  </si>
  <si>
    <t>Harry Hall</t>
  </si>
  <si>
    <t>Alexander Noren</t>
  </si>
  <si>
    <t>165/1</t>
  </si>
  <si>
    <t>Ryan Gerard</t>
  </si>
  <si>
    <t>170/1</t>
  </si>
  <si>
    <t>Aaron Rai</t>
  </si>
  <si>
    <t>195/1</t>
  </si>
  <si>
    <t>T73</t>
  </si>
  <si>
    <t>Nick Taylor</t>
  </si>
  <si>
    <t>Brian Harman</t>
  </si>
  <si>
    <t>200/1</t>
  </si>
  <si>
    <t>Sam Stevens</t>
  </si>
  <si>
    <t>210/1</t>
  </si>
  <si>
    <t>Ryan Fox</t>
  </si>
  <si>
    <t>225/1</t>
  </si>
  <si>
    <t>T26</t>
  </si>
  <si>
    <t>Wyndham Clark</t>
  </si>
  <si>
    <t>T65</t>
  </si>
  <si>
    <t>Sergio Garcia</t>
  </si>
  <si>
    <t>Max Greyserman</t>
  </si>
  <si>
    <t>230/1</t>
  </si>
  <si>
    <t>Dustin Johnson</t>
  </si>
  <si>
    <t>240/1</t>
  </si>
  <si>
    <t>Casey Jarvis</t>
  </si>
  <si>
    <t>250/1</t>
  </si>
  <si>
    <t>Carlos Ortiz</t>
  </si>
  <si>
    <t>260/1</t>
  </si>
  <si>
    <t>Hao-Tong Li</t>
  </si>
  <si>
    <t>280/1</t>
  </si>
  <si>
    <t>Tom McKibbin</t>
  </si>
  <si>
    <t>Nicolas Echavarria</t>
  </si>
  <si>
    <t>310/1</t>
  </si>
  <si>
    <t>Kristoffer Reitan</t>
  </si>
  <si>
    <t>T17</t>
  </si>
  <si>
    <t>Rasmus Neergaard-Petersen</t>
  </si>
  <si>
    <t>325/1</t>
  </si>
  <si>
    <t>T49</t>
  </si>
  <si>
    <t>John Keefer</t>
  </si>
  <si>
    <t>340/1</t>
  </si>
  <si>
    <t>Michael Kim</t>
  </si>
  <si>
    <t>350/1</t>
  </si>
  <si>
    <t>Andrew Novak</t>
  </si>
  <si>
    <t>400/1</t>
  </si>
  <si>
    <t>T47</t>
  </si>
  <si>
    <t>Aldrich Potgieter</t>
  </si>
  <si>
    <t>410/1</t>
  </si>
  <si>
    <t>Michael Brennan</t>
  </si>
  <si>
    <t>430/1</t>
  </si>
  <si>
    <t>T52</t>
  </si>
  <si>
    <t>DQ</t>
  </si>
  <si>
    <t>Sami Valimaki</t>
  </si>
  <si>
    <t>525/1</t>
  </si>
  <si>
    <t>Davis Riley</t>
  </si>
  <si>
    <t>600/1</t>
  </si>
  <si>
    <t>Bubba Watson</t>
  </si>
  <si>
    <t>Charl Schwartzel</t>
  </si>
  <si>
    <t>Zach Johnson</t>
  </si>
  <si>
    <t>Brian Campbell</t>
  </si>
  <si>
    <t>2500/1</t>
  </si>
  <si>
    <t>T78</t>
  </si>
  <si>
    <t>Ethan Fang</t>
  </si>
  <si>
    <t>Danny Willett</t>
  </si>
  <si>
    <t>Fifa Laopakdee</t>
  </si>
  <si>
    <t>4000/1</t>
  </si>
  <si>
    <t>Mason Howell</t>
  </si>
  <si>
    <t>4500/1</t>
  </si>
  <si>
    <t>Jackson Herrington</t>
  </si>
  <si>
    <t>Mateo Pulcini</t>
  </si>
  <si>
    <t>Naoyuki Kataoka</t>
  </si>
  <si>
    <t>Angel Cabrera</t>
  </si>
  <si>
    <t>Vijay Singh</t>
  </si>
  <si>
    <t>Brandon Holtz</t>
  </si>
  <si>
    <t>5000/1</t>
  </si>
  <si>
    <t>Mike Weir</t>
  </si>
  <si>
    <t>Fred Couples</t>
  </si>
  <si>
    <t>Jose Maria Olazabal</t>
  </si>
  <si>
    <t>⛳  MASTERS POOL  –  CONFIGURATION &amp; SETTINGS</t>
  </si>
  <si>
    <t xml:space="preserve">  POOL LOGISTICS</t>
  </si>
  <si>
    <t>Number of Participants</t>
  </si>
  <si>
    <t>Golfers Per Team</t>
  </si>
  <si>
    <t>1st Place Payout (% of Pot)</t>
  </si>
  <si>
    <t>2nd Place Payout (% of Pot)</t>
  </si>
  <si>
    <t>3rd Place Payout (% of Pot)</t>
  </si>
  <si>
    <t>Payout Sum Check</t>
  </si>
  <si>
    <t xml:space="preserve">  PARTICIPANT NAMES </t>
  </si>
  <si>
    <t>#</t>
  </si>
  <si>
    <t>Participant Name</t>
  </si>
  <si>
    <t>Tommy</t>
  </si>
  <si>
    <t>Grant</t>
  </si>
  <si>
    <t>Gavin</t>
  </si>
  <si>
    <t>Caleb</t>
  </si>
  <si>
    <t>Ben</t>
  </si>
  <si>
    <t>Ethan</t>
  </si>
  <si>
    <t>⛳  MASTERS POOL  –  AUCTION DRAFT RESULTS</t>
  </si>
  <si>
    <t>TOTAL POT:</t>
  </si>
  <si>
    <t>Participant</t>
  </si>
  <si>
    <t>Bid 1 ($)</t>
  </si>
  <si>
    <t>Bid 2 ($)</t>
  </si>
  <si>
    <t>Bid 3 ($)</t>
  </si>
  <si>
    <t>Bid 4 ($)</t>
  </si>
  <si>
    <t>Bid 5 ($)</t>
  </si>
  <si>
    <t>Total Bid ($)</t>
  </si>
  <si>
    <t>Tyrell Hatton</t>
  </si>
  <si>
    <t>John Rahm</t>
  </si>
  <si>
    <t>Xander Schaufelle</t>
  </si>
  <si>
    <t>Cam Young</t>
  </si>
  <si>
    <t>Bryson Dechambeu</t>
  </si>
  <si>
    <t>JJ Spaun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</si>
</sst>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0"/>
      <color rgb="FFFFFFFF"/>
      <name val="Arial"/>
      <family val="2"/>
    </font>
    <font>
      <sz val="11"/>
      <name val="Calibri"/>
      <family val="2"/>
    </font>
    <font>
      <i/>
      <sz val="9"/>
      <color rgb="FF064305"/>
      <name val="Arial"/>
      <family val="2"/>
    </font>
    <font>
      <b/>
      <i/>
      <sz val="12"/>
      <color rgb="FFFFFFFF"/>
      <name val="Arial"/>
      <family val="2"/>
    </font>
    <font>
      <b/>
      <i/>
      <sz val="12"/>
      <color theme="0"/>
      <name val="Arial"/>
      <family val="2"/>
    </font>
    <font>
      <b/>
      <sz val="10"/>
      <color rgb="FFFFFFFF"/>
      <name val="Helvetica Neue"/>
      <family val="2"/>
    </font>
    <font>
      <b/>
      <sz val="10"/>
      <color rgb="FFFFFFFF"/>
      <name val="Arial"/>
      <family val="2"/>
    </font>
    <font>
      <b/>
      <sz val="10"/>
      <color theme="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 Neue"/>
      <family val="2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A4480"/>
      <name val="Arial"/>
      <family val="2"/>
    </font>
    <font>
      <i/>
      <sz val="9"/>
      <color rgb="FF555555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A4480"/>
      <name val="Arial"/>
      <family val="2"/>
    </font>
    <font>
      <i/>
      <sz val="9"/>
      <color rgb="FFFFFFFF"/>
      <name val="Arial"/>
      <family val="2"/>
    </font>
    <font>
      <b/>
      <sz val="10"/>
      <color rgb="FF1B4332"/>
      <name val="Arial"/>
      <family val="2"/>
    </font>
    <font>
      <b/>
      <sz val="10"/>
      <color rgb="FFD4AF37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D6A4F"/>
        <bgColor rgb="FF2D6A4F"/>
      </patternFill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FF0000"/>
        <bgColor rgb="FFFF0000"/>
      </patternFill>
    </fill>
    <fill>
      <patternFill patternType="solid">
        <fgColor rgb="FFF5E6A3"/>
        <bgColor rgb="FFF5E6A3"/>
      </patternFill>
    </fill>
    <fill>
      <patternFill patternType="solid">
        <fgColor rgb="FFFAFAF5"/>
        <bgColor rgb="FFFAFAF5"/>
      </patternFill>
    </fill>
    <fill>
      <patternFill patternType="solid">
        <fgColor rgb="FFFFFFFF"/>
        <bgColor rgb="FFFFFFFF"/>
      </patternFill>
    </fill>
    <fill>
      <patternFill patternType="solid">
        <fgColor rgb="FFD4AF37"/>
        <bgColor rgb="FFD4AF37"/>
      </patternFill>
    </fill>
    <fill>
      <patternFill patternType="solid">
        <fgColor rgb="FF1B4332"/>
        <bgColor rgb="FF1B4332"/>
      </patternFill>
    </fill>
    <fill>
      <patternFill patternType="solid">
        <fgColor rgb="FFFFF9E6"/>
        <bgColor rgb="FFFFF9E6"/>
      </patternFill>
    </fill>
    <fill>
      <patternFill patternType="solid">
        <fgColor rgb="FF52B788"/>
        <bgColor rgb="FF52B788"/>
      </patternFill>
    </fill>
  </fills>
  <borders count="1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theme="0"/>
      </bottom>
      <diagonal/>
    </border>
    <border>
      <left/>
      <right/>
      <top style="thin">
        <color rgb="FFCCCCCC"/>
      </top>
      <bottom style="thin">
        <color theme="0"/>
      </bottom>
      <diagonal/>
    </border>
    <border>
      <left/>
      <right/>
      <top style="thin">
        <color rgb="FFCCCCCC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7" xfId="0" applyFont="1" applyFill="1" applyBorder="1"/>
    <xf numFmtId="49" fontId="7" fillId="2" borderId="7" xfId="0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49" fontId="9" fillId="4" borderId="7" xfId="0" applyNumberFormat="1" applyFont="1" applyFill="1" applyBorder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0" fillId="5" borderId="0" xfId="0" applyFont="1" applyFill="1"/>
    <xf numFmtId="1" fontId="11" fillId="5" borderId="0" xfId="0" applyNumberFormat="1" applyFont="1" applyFill="1" applyAlignment="1">
      <alignment horizontal="center"/>
    </xf>
    <xf numFmtId="49" fontId="11" fillId="5" borderId="0" xfId="0" applyNumberFormat="1" applyFont="1" applyFill="1" applyAlignment="1">
      <alignment horizontal="center"/>
    </xf>
    <xf numFmtId="164" fontId="11" fillId="5" borderId="0" xfId="0" applyNumberFormat="1" applyFont="1" applyFill="1" applyAlignment="1">
      <alignment horizontal="center"/>
    </xf>
    <xf numFmtId="49" fontId="12" fillId="5" borderId="0" xfId="0" applyNumberFormat="1" applyFont="1" applyFill="1" applyAlignment="1">
      <alignment horizontal="center"/>
    </xf>
    <xf numFmtId="0" fontId="13" fillId="5" borderId="0" xfId="0" applyFont="1" applyFill="1"/>
    <xf numFmtId="0" fontId="8" fillId="2" borderId="11" xfId="0" applyFont="1" applyFill="1" applyBorder="1" applyAlignment="1">
      <alignment horizontal="left" vertical="center"/>
    </xf>
    <xf numFmtId="0" fontId="16" fillId="6" borderId="11" xfId="0" applyFont="1" applyFill="1" applyBorder="1" applyAlignment="1">
      <alignment horizontal="center" vertical="center"/>
    </xf>
    <xf numFmtId="9" fontId="16" fillId="6" borderId="11" xfId="0" applyNumberFormat="1" applyFont="1" applyFill="1" applyBorder="1" applyAlignment="1">
      <alignment horizontal="center" vertical="center"/>
    </xf>
    <xf numFmtId="9" fontId="18" fillId="7" borderId="11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left" vertical="center"/>
    </xf>
    <xf numFmtId="0" fontId="19" fillId="7" borderId="11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left" vertical="center"/>
    </xf>
    <xf numFmtId="0" fontId="20" fillId="8" borderId="11" xfId="0" applyFont="1" applyFill="1" applyBorder="1" applyAlignment="1">
      <alignment horizontal="left" vertical="center"/>
    </xf>
    <xf numFmtId="165" fontId="8" fillId="2" borderId="11" xfId="0" applyNumberFormat="1" applyFont="1" applyFill="1" applyBorder="1" applyAlignment="1">
      <alignment horizontal="left" vertical="center"/>
    </xf>
    <xf numFmtId="0" fontId="22" fillId="9" borderId="11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left" vertical="center"/>
    </xf>
    <xf numFmtId="0" fontId="13" fillId="0" borderId="0" xfId="0" applyFont="1"/>
    <xf numFmtId="164" fontId="20" fillId="6" borderId="11" xfId="0" applyNumberFormat="1" applyFont="1" applyFill="1" applyBorder="1" applyAlignment="1">
      <alignment horizontal="center" vertical="center"/>
    </xf>
    <xf numFmtId="164" fontId="15" fillId="2" borderId="11" xfId="0" applyNumberFormat="1" applyFont="1" applyFill="1" applyBorder="1" applyAlignment="1">
      <alignment horizontal="center" vertical="center"/>
    </xf>
    <xf numFmtId="164" fontId="20" fillId="11" borderId="11" xfId="0" applyNumberFormat="1" applyFont="1" applyFill="1" applyBorder="1" applyAlignment="1">
      <alignment horizontal="center" vertical="center"/>
    </xf>
    <xf numFmtId="164" fontId="15" fillId="12" borderId="1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5" fillId="2" borderId="0" xfId="0" applyFont="1" applyFill="1" applyAlignment="1">
      <alignment horizontal="center" vertical="center"/>
    </xf>
    <xf numFmtId="0" fontId="0" fillId="0" borderId="0" xfId="0"/>
    <xf numFmtId="49" fontId="6" fillId="4" borderId="0" xfId="0" applyNumberFormat="1" applyFont="1" applyFill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15" fillId="2" borderId="8" xfId="0" applyFont="1" applyFill="1" applyBorder="1" applyAlignment="1">
      <alignment horizontal="left" vertical="center"/>
    </xf>
    <xf numFmtId="0" fontId="17" fillId="7" borderId="8" xfId="0" applyFont="1" applyFill="1" applyBorder="1" applyAlignment="1">
      <alignment horizontal="left" vertical="center"/>
    </xf>
    <xf numFmtId="165" fontId="17" fillId="7" borderId="8" xfId="0" applyNumberFormat="1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Masters Field &amp; Odd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V96">
  <tableColumns count="22">
    <tableColumn id="1" xr3:uid="{00000000-0010-0000-0000-000001000000}" name="Golfer"/>
    <tableColumn id="2" xr3:uid="{00000000-0010-0000-0000-000002000000}" name="Tier"/>
    <tableColumn id="3" xr3:uid="{00000000-0010-0000-0000-000003000000}" name="Rank"/>
    <tableColumn id="4" xr3:uid="{00000000-0010-0000-0000-000004000000}" name="Odds"/>
    <tableColumn id="5" xr3:uid="{00000000-0010-0000-0000-000005000000}" name="Starting Bid"/>
    <tableColumn id="6" xr3:uid="{00000000-0010-0000-0000-000006000000}" name="2025"/>
    <tableColumn id="7" xr3:uid="{00000000-0010-0000-0000-000007000000}" name="2024"/>
    <tableColumn id="8" xr3:uid="{00000000-0010-0000-0000-000008000000}" name="2023"/>
    <tableColumn id="9" xr3:uid="{00000000-0010-0000-0000-000009000000}" name="2022"/>
    <tableColumn id="10" xr3:uid="{00000000-0010-0000-0000-00000A000000}" name="2021"/>
    <tableColumn id="11" xr3:uid="{00000000-0010-0000-0000-00000B000000}" name="Valero"/>
    <tableColumn id="12" xr3:uid="{00000000-0010-0000-0000-00000C000000}" name="Houston"/>
    <tableColumn id="13" xr3:uid="{00000000-0010-0000-0000-00000D000000}" name="Valspar"/>
    <tableColumn id="14" xr3:uid="{00000000-0010-0000-0000-00000E000000}" name="Players"/>
    <tableColumn id="15" xr3:uid="{00000000-0010-0000-0000-00000F000000}" name="Puerto Rico"/>
    <tableColumn id="16" xr3:uid="{00000000-0010-0000-0000-000010000000}" name="Arnold Palmer"/>
    <tableColumn id="17" xr3:uid="{00000000-0010-0000-0000-000011000000}" name="Cognizant"/>
    <tableColumn id="18" xr3:uid="{00000000-0010-0000-0000-000012000000}" name="Genesis"/>
    <tableColumn id="19" xr3:uid="{00000000-0010-0000-0000-000013000000}" name="Pebble"/>
    <tableColumn id="20" xr3:uid="{00000000-0010-0000-0000-000014000000}" name="WM"/>
    <tableColumn id="21" xr3:uid="{00000000-0010-0000-0000-000015000000}" name="Farmers"/>
    <tableColumn id="22" xr3:uid="{00000000-0010-0000-0000-000016000000}" name="AmEx"/>
  </tableColumns>
  <tableStyleInfo name="Masters Field &amp; Odd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24.83203125" customWidth="1"/>
    <col min="2" max="2" width="9.33203125" customWidth="1"/>
    <col min="3" max="4" width="10.33203125" customWidth="1"/>
    <col min="5" max="5" width="15.83203125" customWidth="1"/>
    <col min="6" max="10" width="10.1640625" customWidth="1"/>
    <col min="11" max="11" width="11.33203125" customWidth="1"/>
    <col min="12" max="12" width="12.83203125" customWidth="1"/>
    <col min="13" max="13" width="12.5" customWidth="1"/>
    <col min="14" max="14" width="12.1640625" customWidth="1"/>
    <col min="15" max="15" width="15.83203125" customWidth="1"/>
    <col min="16" max="16" width="17.83203125" customWidth="1"/>
    <col min="17" max="17" width="14.33203125" customWidth="1"/>
    <col min="18" max="18" width="12.6640625" customWidth="1"/>
    <col min="19" max="19" width="11.83203125" customWidth="1"/>
    <col min="20" max="20" width="9.1640625" customWidth="1"/>
    <col min="21" max="21" width="12.83203125" customWidth="1"/>
    <col min="22" max="22" width="10.6640625" customWidth="1"/>
    <col min="23" max="26" width="8.83203125" customWidth="1"/>
  </cols>
  <sheetData>
    <row r="1" spans="1:22" ht="6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6" customHeight="1" x14ac:dyDescent="0.2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</row>
    <row r="3" spans="1:22" ht="18" customHeight="1" x14ac:dyDescent="0.2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</row>
    <row r="4" spans="1:22" ht="22.5" customHeight="1" x14ac:dyDescent="0.2">
      <c r="A4" s="43"/>
      <c r="B4" s="44"/>
      <c r="C4" s="44"/>
      <c r="D4" s="44"/>
      <c r="E4" s="2"/>
      <c r="F4" s="43" t="s">
        <v>2</v>
      </c>
      <c r="G4" s="44"/>
      <c r="H4" s="44"/>
      <c r="I4" s="44"/>
      <c r="J4" s="44"/>
      <c r="K4" s="45" t="s">
        <v>3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 spans="1:22" ht="25.5" customHeight="1" x14ac:dyDescent="0.2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</row>
    <row r="6" spans="1:22" ht="18" customHeight="1" x14ac:dyDescent="0.2">
      <c r="A6" s="7" t="s">
        <v>26</v>
      </c>
      <c r="B6" s="8">
        <v>1</v>
      </c>
      <c r="C6" s="9">
        <v>1</v>
      </c>
      <c r="D6" s="9" t="s">
        <v>27</v>
      </c>
      <c r="E6" s="10" t="e">
        <f t="array" aca="1" ref="E6" ca="1">_xludf.IFS(B6=1,20,B6=2,10,B6=3,7.5,B6&gt;=4,5)</f>
        <v>#NAME?</v>
      </c>
      <c r="F6" s="9">
        <v>4</v>
      </c>
      <c r="G6" s="9">
        <v>1</v>
      </c>
      <c r="H6" s="9" t="s">
        <v>28</v>
      </c>
      <c r="I6" s="9">
        <v>1</v>
      </c>
      <c r="J6" s="9" t="s">
        <v>29</v>
      </c>
      <c r="K6" s="11"/>
      <c r="L6" s="11"/>
      <c r="M6" s="11"/>
      <c r="N6" s="9" t="s">
        <v>30</v>
      </c>
      <c r="O6" s="11"/>
      <c r="P6" s="9" t="s">
        <v>31</v>
      </c>
      <c r="Q6" s="11"/>
      <c r="R6" s="9" t="s">
        <v>32</v>
      </c>
      <c r="S6" s="9" t="s">
        <v>33</v>
      </c>
      <c r="T6" s="9" t="s">
        <v>34</v>
      </c>
      <c r="U6" s="11"/>
      <c r="V6" s="9">
        <v>1</v>
      </c>
    </row>
    <row r="7" spans="1:22" ht="18" customHeight="1" x14ac:dyDescent="0.2">
      <c r="A7" s="7" t="s">
        <v>35</v>
      </c>
      <c r="B7" s="8">
        <v>1</v>
      </c>
      <c r="C7" s="9">
        <v>30</v>
      </c>
      <c r="D7" s="9" t="s">
        <v>36</v>
      </c>
      <c r="E7" s="10" t="e">
        <f t="array" aca="1" ref="E7" ca="1">_xludf.IFS(B7=1,20,B7=2,15,B7=3,10,B7&gt;=4,5)</f>
        <v>#NAME?</v>
      </c>
      <c r="F7" s="9" t="s">
        <v>37</v>
      </c>
      <c r="G7" s="9" t="s">
        <v>38</v>
      </c>
      <c r="H7" s="9">
        <v>1</v>
      </c>
      <c r="I7" s="9" t="s">
        <v>39</v>
      </c>
      <c r="J7" s="9" t="s">
        <v>40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8" customHeight="1" x14ac:dyDescent="0.2">
      <c r="A8" s="7" t="s">
        <v>41</v>
      </c>
      <c r="B8" s="8">
        <v>1</v>
      </c>
      <c r="C8" s="9">
        <v>2</v>
      </c>
      <c r="D8" s="9" t="s">
        <v>42</v>
      </c>
      <c r="E8" s="10" t="e">
        <f t="array" aca="1" ref="E8" ca="1">_xludf.IFS(B8=1,20,B8=2,15,B8=3,10,B8&gt;=4,5)</f>
        <v>#NAME?</v>
      </c>
      <c r="F8" s="9">
        <v>1</v>
      </c>
      <c r="G8" s="9" t="s">
        <v>30</v>
      </c>
      <c r="H8" s="9" t="s">
        <v>43</v>
      </c>
      <c r="I8" s="9">
        <v>2</v>
      </c>
      <c r="J8" s="9" t="s">
        <v>43</v>
      </c>
      <c r="K8" s="11"/>
      <c r="L8" s="11"/>
      <c r="M8" s="11"/>
      <c r="N8" s="9" t="s">
        <v>44</v>
      </c>
      <c r="O8" s="11"/>
      <c r="P8" s="9" t="s">
        <v>45</v>
      </c>
      <c r="Q8" s="11"/>
      <c r="R8" s="9" t="s">
        <v>46</v>
      </c>
      <c r="S8" s="9" t="s">
        <v>37</v>
      </c>
      <c r="T8" s="11"/>
      <c r="U8" s="11"/>
      <c r="V8" s="11"/>
    </row>
    <row r="9" spans="1:22" ht="18" customHeight="1" x14ac:dyDescent="0.2">
      <c r="A9" s="7" t="s">
        <v>47</v>
      </c>
      <c r="B9" s="8">
        <v>1</v>
      </c>
      <c r="C9" s="9">
        <v>24</v>
      </c>
      <c r="D9" s="9" t="s">
        <v>48</v>
      </c>
      <c r="E9" s="10" t="e">
        <f t="array" aca="1" ref="E9" ca="1">_xludf.IFS(B9=1,20,B9=2,15,B9=3,10,B9&gt;=4,5)</f>
        <v>#NAME?</v>
      </c>
      <c r="F9" s="9" t="s">
        <v>40</v>
      </c>
      <c r="G9" s="9" t="s">
        <v>49</v>
      </c>
      <c r="H9" s="9" t="s">
        <v>43</v>
      </c>
      <c r="I9" s="9" t="s">
        <v>43</v>
      </c>
      <c r="J9" s="9" t="s">
        <v>44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8" customHeight="1" x14ac:dyDescent="0.2">
      <c r="A10" s="7" t="s">
        <v>50</v>
      </c>
      <c r="B10" s="8">
        <v>2</v>
      </c>
      <c r="C10" s="9">
        <v>17</v>
      </c>
      <c r="D10" s="9" t="s">
        <v>51</v>
      </c>
      <c r="E10" s="10" t="e">
        <f t="array" aca="1" ref="E10" ca="1">_xludf.IFS(B10=1,20,B10=2,15,B10=3,10,B10&gt;=4,5)</f>
        <v>#NAME?</v>
      </c>
      <c r="F10" s="9">
        <v>7</v>
      </c>
      <c r="G10" s="9">
        <v>2</v>
      </c>
      <c r="H10" s="11"/>
      <c r="I10" s="11"/>
      <c r="J10" s="11"/>
      <c r="K10" s="9" t="s">
        <v>40</v>
      </c>
      <c r="L10" s="11"/>
      <c r="M10" s="11"/>
      <c r="N10" s="9" t="s">
        <v>40</v>
      </c>
      <c r="O10" s="11"/>
      <c r="P10" s="9" t="s">
        <v>34</v>
      </c>
      <c r="Q10" s="11"/>
      <c r="R10" s="9" t="s">
        <v>52</v>
      </c>
      <c r="S10" s="9" t="s">
        <v>53</v>
      </c>
      <c r="T10" s="11"/>
      <c r="U10" s="9" t="s">
        <v>43</v>
      </c>
      <c r="V10" s="9" t="s">
        <v>45</v>
      </c>
    </row>
    <row r="11" spans="1:22" ht="18" customHeight="1" x14ac:dyDescent="0.2">
      <c r="A11" s="7" t="s">
        <v>54</v>
      </c>
      <c r="B11" s="8">
        <v>2</v>
      </c>
      <c r="C11" s="9">
        <v>10</v>
      </c>
      <c r="D11" s="9" t="s">
        <v>55</v>
      </c>
      <c r="E11" s="10" t="e">
        <f t="array" aca="1" ref="E11" ca="1">_xludf.IFS(B11=1,20,B11=2,15,B11=3,10,B11&gt;=4,5)</f>
        <v>#NAME?</v>
      </c>
      <c r="F11" s="9" t="s">
        <v>56</v>
      </c>
      <c r="G11" s="9">
        <v>8</v>
      </c>
      <c r="H11" s="9" t="s">
        <v>28</v>
      </c>
      <c r="I11" s="9" t="s">
        <v>43</v>
      </c>
      <c r="J11" s="9" t="s">
        <v>34</v>
      </c>
      <c r="K11" s="11"/>
      <c r="L11" s="11"/>
      <c r="M11" s="9" t="s">
        <v>33</v>
      </c>
      <c r="N11" s="9">
        <v>3</v>
      </c>
      <c r="O11" s="11"/>
      <c r="P11" s="9" t="s">
        <v>31</v>
      </c>
      <c r="Q11" s="11"/>
      <c r="R11" s="9" t="s">
        <v>57</v>
      </c>
      <c r="S11" s="9" t="s">
        <v>58</v>
      </c>
      <c r="T11" s="9" t="s">
        <v>59</v>
      </c>
      <c r="U11" s="9" t="s">
        <v>43</v>
      </c>
      <c r="V11" s="11"/>
    </row>
    <row r="12" spans="1:22" ht="18" customHeight="1" x14ac:dyDescent="0.2">
      <c r="A12" s="7" t="s">
        <v>60</v>
      </c>
      <c r="B12" s="8">
        <v>2</v>
      </c>
      <c r="C12" s="9">
        <v>3</v>
      </c>
      <c r="D12" s="9" t="s">
        <v>61</v>
      </c>
      <c r="E12" s="10" t="e">
        <f t="array" aca="1" ref="E12" ca="1">_xludf.IFS(B12=1,20,B12=2,15,B12=3,10,B12&gt;=4,5)</f>
        <v>#NAME?</v>
      </c>
      <c r="F12" s="9" t="s">
        <v>43</v>
      </c>
      <c r="G12" s="9" t="s">
        <v>62</v>
      </c>
      <c r="H12" s="9" t="s">
        <v>57</v>
      </c>
      <c r="I12" s="9" t="s">
        <v>43</v>
      </c>
      <c r="J12" s="11"/>
      <c r="K12" s="11"/>
      <c r="L12" s="11"/>
      <c r="M12" s="11"/>
      <c r="N12" s="9">
        <v>1</v>
      </c>
      <c r="O12" s="11"/>
      <c r="P12" s="9" t="s">
        <v>34</v>
      </c>
      <c r="Q12" s="11"/>
      <c r="R12" s="9" t="s">
        <v>57</v>
      </c>
      <c r="S12" s="9" t="s">
        <v>63</v>
      </c>
      <c r="T12" s="9" t="s">
        <v>59</v>
      </c>
      <c r="U12" s="9" t="s">
        <v>30</v>
      </c>
      <c r="V12" s="11"/>
    </row>
    <row r="13" spans="1:22" ht="18" customHeight="1" x14ac:dyDescent="0.2">
      <c r="A13" s="7" t="s">
        <v>64</v>
      </c>
      <c r="B13" s="8">
        <v>2</v>
      </c>
      <c r="C13" s="9">
        <v>4</v>
      </c>
      <c r="D13" s="9" t="s">
        <v>65</v>
      </c>
      <c r="E13" s="10" t="e">
        <f t="array" aca="1" ref="E13" ca="1">_xludf.IFS(B13=1,20,B13=2,15,B13=3,10,B13&gt;=4,5)</f>
        <v>#NAME?</v>
      </c>
      <c r="F13" s="9" t="s">
        <v>66</v>
      </c>
      <c r="G13" s="9" t="s">
        <v>34</v>
      </c>
      <c r="H13" s="9">
        <v>33</v>
      </c>
      <c r="I13" s="9" t="s">
        <v>37</v>
      </c>
      <c r="J13" s="9" t="s">
        <v>44</v>
      </c>
      <c r="K13" s="9" t="s">
        <v>28</v>
      </c>
      <c r="L13" s="11"/>
      <c r="M13" s="11"/>
      <c r="N13" s="9" t="s">
        <v>56</v>
      </c>
      <c r="O13" s="11"/>
      <c r="P13" s="9">
        <v>49</v>
      </c>
      <c r="Q13" s="11"/>
      <c r="R13" s="9" t="s">
        <v>57</v>
      </c>
      <c r="S13" s="9" t="s">
        <v>33</v>
      </c>
      <c r="T13" s="11"/>
      <c r="U13" s="11"/>
      <c r="V13" s="11"/>
    </row>
    <row r="14" spans="1:22" ht="18" customHeight="1" x14ac:dyDescent="0.2">
      <c r="A14" s="7" t="s">
        <v>67</v>
      </c>
      <c r="B14" s="8">
        <v>2</v>
      </c>
      <c r="C14" s="9">
        <v>6</v>
      </c>
      <c r="D14" s="9" t="s">
        <v>68</v>
      </c>
      <c r="E14" s="10" t="e">
        <f t="array" aca="1" ref="E14" ca="1">_xludf.IFS(B14=1,20,B14=2,15,B14=3,10,B14&gt;=4,5)</f>
        <v>#NAME?</v>
      </c>
      <c r="F14" s="9" t="s">
        <v>69</v>
      </c>
      <c r="G14" s="9" t="s">
        <v>30</v>
      </c>
      <c r="H14" s="9" t="s">
        <v>28</v>
      </c>
      <c r="I14" s="9" t="s">
        <v>37</v>
      </c>
      <c r="J14" s="9" t="s">
        <v>70</v>
      </c>
      <c r="K14" s="11"/>
      <c r="L14" s="11"/>
      <c r="M14" s="9">
        <v>1</v>
      </c>
      <c r="N14" s="9">
        <v>2</v>
      </c>
      <c r="O14" s="11"/>
      <c r="P14" s="9" t="s">
        <v>59</v>
      </c>
      <c r="Q14" s="11"/>
      <c r="R14" s="9" t="s">
        <v>31</v>
      </c>
      <c r="S14" s="9" t="s">
        <v>37</v>
      </c>
      <c r="T14" s="9">
        <v>9</v>
      </c>
      <c r="U14" s="11"/>
      <c r="V14" s="9" t="s">
        <v>71</v>
      </c>
    </row>
    <row r="15" spans="1:22" ht="18" customHeight="1" x14ac:dyDescent="0.2">
      <c r="A15" s="7" t="s">
        <v>72</v>
      </c>
      <c r="B15" s="8">
        <v>2</v>
      </c>
      <c r="C15" s="9">
        <v>7</v>
      </c>
      <c r="D15" s="9" t="s">
        <v>73</v>
      </c>
      <c r="E15" s="10" t="e">
        <f t="array" aca="1" ref="E15" ca="1">_xludf.IFS(B15=1,20,B15=2,15,B15=3,10,B15&gt;=4,5)</f>
        <v>#NAME?</v>
      </c>
      <c r="F15" s="9" t="s">
        <v>37</v>
      </c>
      <c r="G15" s="9" t="s">
        <v>34</v>
      </c>
      <c r="H15" s="9" t="s">
        <v>28</v>
      </c>
      <c r="I15" s="9">
        <v>5</v>
      </c>
      <c r="J15" s="9" t="s">
        <v>29</v>
      </c>
      <c r="K15" s="11"/>
      <c r="L15" s="11"/>
      <c r="M15" s="11"/>
      <c r="N15" s="9" t="s">
        <v>45</v>
      </c>
      <c r="O15" s="11"/>
      <c r="P15" s="9">
        <v>5</v>
      </c>
      <c r="Q15" s="11"/>
      <c r="R15" s="9" t="s">
        <v>57</v>
      </c>
      <c r="S15" s="9">
        <v>1</v>
      </c>
      <c r="T15" s="9" t="s">
        <v>74</v>
      </c>
      <c r="U15" s="11"/>
      <c r="V15" s="11"/>
    </row>
    <row r="16" spans="1:22" ht="18" customHeight="1" x14ac:dyDescent="0.2">
      <c r="A16" s="7" t="s">
        <v>75</v>
      </c>
      <c r="B16" s="8">
        <v>2</v>
      </c>
      <c r="C16" s="9">
        <v>9</v>
      </c>
      <c r="D16" s="9" t="s">
        <v>76</v>
      </c>
      <c r="E16" s="10" t="e">
        <f t="array" aca="1" ref="E16" ca="1">_xludf.IFS(B16=1,20,B16=2,15,B16=3,10,B16&gt;=4,5)</f>
        <v>#NAME?</v>
      </c>
      <c r="F16" s="9">
        <v>2</v>
      </c>
      <c r="G16" s="9" t="s">
        <v>43</v>
      </c>
      <c r="H16" s="9" t="s">
        <v>77</v>
      </c>
      <c r="I16" s="9" t="s">
        <v>43</v>
      </c>
      <c r="J16" s="9">
        <v>7</v>
      </c>
      <c r="K16" s="11"/>
      <c r="L16" s="11"/>
      <c r="M16" s="11"/>
      <c r="N16" s="9" t="s">
        <v>78</v>
      </c>
      <c r="O16" s="11"/>
      <c r="P16" s="9" t="s">
        <v>43</v>
      </c>
      <c r="Q16" s="11"/>
      <c r="R16" s="9" t="s">
        <v>43</v>
      </c>
      <c r="S16" s="9" t="s">
        <v>53</v>
      </c>
      <c r="T16" s="11"/>
      <c r="U16" s="9">
        <v>1</v>
      </c>
      <c r="V16" s="9" t="s">
        <v>43</v>
      </c>
    </row>
    <row r="17" spans="1:26" ht="18" customHeight="1" x14ac:dyDescent="0.2">
      <c r="A17" s="7" t="s">
        <v>79</v>
      </c>
      <c r="B17" s="8">
        <v>2</v>
      </c>
      <c r="C17" s="9">
        <v>61</v>
      </c>
      <c r="D17" s="9" t="s">
        <v>80</v>
      </c>
      <c r="E17" s="10" t="e">
        <f t="array" aca="1" ref="E17" ca="1">_xludf.IFS(B17=1,20,B17=2,15,B17=3,10,B17&gt;=4,5)</f>
        <v>#NAME?</v>
      </c>
      <c r="F17" s="9" t="s">
        <v>37</v>
      </c>
      <c r="G17" s="9" t="s">
        <v>43</v>
      </c>
      <c r="H17" s="9" t="s">
        <v>33</v>
      </c>
      <c r="I17" s="9" t="s">
        <v>43</v>
      </c>
      <c r="J17" s="9" t="s">
        <v>34</v>
      </c>
      <c r="K17" s="9" t="s">
        <v>71</v>
      </c>
      <c r="L17" s="11"/>
      <c r="M17" s="9" t="s">
        <v>81</v>
      </c>
      <c r="N17" s="9" t="s">
        <v>82</v>
      </c>
      <c r="O17" s="11"/>
      <c r="P17" s="9" t="s">
        <v>81</v>
      </c>
      <c r="Q17" s="11"/>
      <c r="R17" s="9" t="s">
        <v>32</v>
      </c>
      <c r="S17" s="9" t="s">
        <v>83</v>
      </c>
      <c r="T17" s="9" t="s">
        <v>43</v>
      </c>
      <c r="U17" s="11"/>
      <c r="V17" s="11"/>
    </row>
    <row r="18" spans="1:26" ht="18" customHeight="1" x14ac:dyDescent="0.2">
      <c r="A18" s="7" t="s">
        <v>84</v>
      </c>
      <c r="B18" s="8">
        <v>2</v>
      </c>
      <c r="C18" s="9">
        <v>169</v>
      </c>
      <c r="D18" s="9" t="s">
        <v>80</v>
      </c>
      <c r="E18" s="10" t="e">
        <f t="array" aca="1" ref="E18" ca="1">_xludf.IFS(B18=1,20,B18=2,15,B18=3,10,B18&gt;=4,5)</f>
        <v>#NAME?</v>
      </c>
      <c r="F18" s="9" t="s">
        <v>43</v>
      </c>
      <c r="G18" s="9" t="s">
        <v>38</v>
      </c>
      <c r="H18" s="9" t="s">
        <v>46</v>
      </c>
      <c r="I18" s="9" t="s">
        <v>43</v>
      </c>
      <c r="J18" s="9" t="s">
        <v>43</v>
      </c>
      <c r="K18" s="11"/>
      <c r="L18" s="9" t="s">
        <v>43</v>
      </c>
      <c r="M18" s="9" t="s">
        <v>29</v>
      </c>
      <c r="N18" s="9" t="s">
        <v>78</v>
      </c>
      <c r="O18" s="11"/>
      <c r="P18" s="11"/>
      <c r="Q18" s="9" t="s">
        <v>62</v>
      </c>
      <c r="R18" s="11"/>
      <c r="S18" s="11"/>
      <c r="T18" s="9" t="s">
        <v>43</v>
      </c>
      <c r="U18" s="9" t="s">
        <v>85</v>
      </c>
      <c r="V18" s="11"/>
    </row>
    <row r="19" spans="1:26" ht="18" customHeight="1" x14ac:dyDescent="0.2">
      <c r="A19" s="7" t="s">
        <v>86</v>
      </c>
      <c r="B19" s="8">
        <v>2</v>
      </c>
      <c r="C19" s="9">
        <v>14</v>
      </c>
      <c r="D19" s="9" t="s">
        <v>87</v>
      </c>
      <c r="E19" s="10" t="e">
        <f t="array" aca="1" ref="E19" ca="1">_xludf.IFS(B19=1,20,B19=2,15,B19=3,10,B19&gt;=4,5)</f>
        <v>#NAME?</v>
      </c>
      <c r="F19" s="9" t="s">
        <v>66</v>
      </c>
      <c r="G19" s="9" t="s">
        <v>88</v>
      </c>
      <c r="H19" s="9" t="s">
        <v>77</v>
      </c>
      <c r="I19" s="9" t="s">
        <v>37</v>
      </c>
      <c r="J19" s="9">
        <v>1</v>
      </c>
      <c r="K19" s="9" t="s">
        <v>66</v>
      </c>
      <c r="L19" s="11"/>
      <c r="M19" s="11"/>
      <c r="N19" s="9" t="s">
        <v>39</v>
      </c>
      <c r="O19" s="11"/>
      <c r="P19" s="9" t="s">
        <v>59</v>
      </c>
      <c r="Q19" s="11"/>
      <c r="R19" s="9" t="s">
        <v>89</v>
      </c>
      <c r="S19" s="9" t="s">
        <v>56</v>
      </c>
      <c r="T19" s="9">
        <v>2</v>
      </c>
      <c r="U19" s="9" t="s">
        <v>81</v>
      </c>
      <c r="V19" s="11"/>
    </row>
    <row r="20" spans="1:26" ht="18" customHeight="1" x14ac:dyDescent="0.2">
      <c r="A20" s="7" t="s">
        <v>90</v>
      </c>
      <c r="B20" s="8">
        <v>3</v>
      </c>
      <c r="C20" s="9">
        <v>8</v>
      </c>
      <c r="D20" s="9" t="s">
        <v>91</v>
      </c>
      <c r="E20" s="10" t="e">
        <f t="array" aca="1" ref="E20" ca="1">_xludf.IFS(B20=1,20,B20=2,15,B20=3,10,B20&gt;=4,5)</f>
        <v>#NAME?</v>
      </c>
      <c r="F20" s="11"/>
      <c r="G20" s="11"/>
      <c r="H20" s="11"/>
      <c r="I20" s="11"/>
      <c r="J20" s="11"/>
      <c r="K20" s="9" t="s">
        <v>46</v>
      </c>
      <c r="L20" s="11"/>
      <c r="M20" s="11"/>
      <c r="N20" s="9">
        <v>4</v>
      </c>
      <c r="O20" s="11"/>
      <c r="P20" s="9" t="s">
        <v>31</v>
      </c>
      <c r="Q20" s="11"/>
      <c r="R20" s="9" t="s">
        <v>52</v>
      </c>
      <c r="S20" s="9" t="s">
        <v>53</v>
      </c>
      <c r="T20" s="11"/>
      <c r="U20" s="11"/>
      <c r="V20" s="9" t="s">
        <v>88</v>
      </c>
    </row>
    <row r="21" spans="1:26" ht="18" customHeight="1" x14ac:dyDescent="0.2">
      <c r="A21" s="7" t="s">
        <v>92</v>
      </c>
      <c r="B21" s="8">
        <v>3</v>
      </c>
      <c r="C21" s="9">
        <v>12</v>
      </c>
      <c r="D21" s="9" t="s">
        <v>93</v>
      </c>
      <c r="E21" s="10" t="e">
        <f t="array" aca="1" ref="E21" ca="1">_xludf.IFS(B21=1,20,B21=2,15,B21=3,10,B21&gt;=4,5)</f>
        <v>#NAME?</v>
      </c>
      <c r="F21" s="9" t="s">
        <v>43</v>
      </c>
      <c r="G21" s="9" t="s">
        <v>88</v>
      </c>
      <c r="H21" s="9" t="s">
        <v>33</v>
      </c>
      <c r="I21" s="9" t="s">
        <v>94</v>
      </c>
      <c r="J21" s="11"/>
      <c r="K21" s="9" t="s">
        <v>43</v>
      </c>
      <c r="L21" s="11"/>
      <c r="M21" s="11"/>
      <c r="N21" s="9" t="s">
        <v>78</v>
      </c>
      <c r="O21" s="11"/>
      <c r="P21" s="9" t="s">
        <v>49</v>
      </c>
      <c r="Q21" s="11"/>
      <c r="R21" s="9" t="s">
        <v>43</v>
      </c>
      <c r="S21" s="9" t="s">
        <v>58</v>
      </c>
      <c r="T21" s="11"/>
      <c r="U21" s="11"/>
      <c r="V21" s="9" t="s">
        <v>56</v>
      </c>
    </row>
    <row r="22" spans="1:26" ht="18" customHeight="1" x14ac:dyDescent="0.2">
      <c r="A22" s="7" t="s">
        <v>95</v>
      </c>
      <c r="B22" s="8">
        <v>3</v>
      </c>
      <c r="C22" s="9">
        <v>11</v>
      </c>
      <c r="D22" s="9" t="s">
        <v>96</v>
      </c>
      <c r="E22" s="10" t="e">
        <f t="array" aca="1" ref="E22" ca="1">_xludf.IFS(B22=1,20,B22=2,15,B22=3,10,B22&gt;=4,5)</f>
        <v>#NAME?</v>
      </c>
      <c r="F22" s="11"/>
      <c r="G22" s="11"/>
      <c r="H22" s="11"/>
      <c r="I22" s="11"/>
      <c r="J22" s="11"/>
      <c r="K22" s="11"/>
      <c r="L22" s="9" t="s">
        <v>49</v>
      </c>
      <c r="M22" s="11"/>
      <c r="N22" s="9" t="s">
        <v>85</v>
      </c>
      <c r="O22" s="11"/>
      <c r="P22" s="9" t="s">
        <v>29</v>
      </c>
      <c r="Q22" s="11"/>
      <c r="R22" s="9" t="s">
        <v>43</v>
      </c>
      <c r="S22" s="9" t="s">
        <v>53</v>
      </c>
      <c r="T22" s="9">
        <v>1</v>
      </c>
      <c r="U22" s="9" t="s">
        <v>29</v>
      </c>
      <c r="V22" s="11"/>
    </row>
    <row r="23" spans="1:26" ht="18" customHeight="1" x14ac:dyDescent="0.2">
      <c r="A23" s="7" t="s">
        <v>97</v>
      </c>
      <c r="B23" s="8">
        <v>3</v>
      </c>
      <c r="C23" s="9">
        <v>23</v>
      </c>
      <c r="D23" s="9" t="s">
        <v>98</v>
      </c>
      <c r="E23" s="10" t="e">
        <f t="array" aca="1" ref="E23" ca="1">_xludf.IFS(B23=1,20,B23=2,15,B23=3,10,B23&gt;=4,5)</f>
        <v>#NAME?</v>
      </c>
      <c r="F23" s="9">
        <v>3</v>
      </c>
      <c r="G23" s="9" t="s">
        <v>32</v>
      </c>
      <c r="H23" s="9" t="s">
        <v>33</v>
      </c>
      <c r="I23" s="9" t="s">
        <v>99</v>
      </c>
      <c r="J23" s="9" t="s">
        <v>56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6" ht="18" customHeight="1" x14ac:dyDescent="0.2">
      <c r="A24" s="7" t="s">
        <v>100</v>
      </c>
      <c r="B24" s="8">
        <v>3</v>
      </c>
      <c r="C24" s="9">
        <v>22</v>
      </c>
      <c r="D24" s="9" t="s">
        <v>101</v>
      </c>
      <c r="E24" s="10" t="e">
        <f t="array" aca="1" ref="E24" ca="1">_xludf.IFS(B24=1,20,B24=2,15,B24=3,10,B24&gt;=4,5)</f>
        <v>#NAME?</v>
      </c>
      <c r="F24" s="9" t="s">
        <v>66</v>
      </c>
      <c r="G24" s="9" t="s">
        <v>43</v>
      </c>
      <c r="H24" s="9" t="s">
        <v>57</v>
      </c>
      <c r="I24" s="9" t="s">
        <v>39</v>
      </c>
      <c r="J24" s="9" t="s">
        <v>66</v>
      </c>
      <c r="K24" s="11"/>
      <c r="L24" s="11"/>
      <c r="M24" s="9" t="s">
        <v>43</v>
      </c>
      <c r="N24" s="9" t="s">
        <v>78</v>
      </c>
      <c r="O24" s="11"/>
      <c r="P24" s="9" t="s">
        <v>78</v>
      </c>
      <c r="Q24" s="11"/>
      <c r="R24" s="9" t="s">
        <v>59</v>
      </c>
      <c r="S24" s="9" t="s">
        <v>102</v>
      </c>
      <c r="T24" s="9" t="s">
        <v>28</v>
      </c>
      <c r="U24" s="11"/>
      <c r="V24" s="11"/>
    </row>
    <row r="25" spans="1:26" ht="18" customHeight="1" x14ac:dyDescent="0.2">
      <c r="A25" s="12" t="s">
        <v>103</v>
      </c>
      <c r="B25" s="13">
        <v>3</v>
      </c>
      <c r="C25" s="14">
        <v>28</v>
      </c>
      <c r="D25" s="14" t="s">
        <v>104</v>
      </c>
      <c r="E25" s="15" t="e">
        <f t="array" aca="1" ref="E25" ca="1">_xludf.IFS(B25=1,20,B25=2,15,B25=3,10,B25&gt;=4,5)</f>
        <v>#NAME?</v>
      </c>
      <c r="F25" s="16"/>
      <c r="G25" s="14" t="s">
        <v>94</v>
      </c>
      <c r="H25" s="14" t="s">
        <v>83</v>
      </c>
      <c r="I25" s="14" t="s">
        <v>105</v>
      </c>
      <c r="J25" s="14" t="s">
        <v>32</v>
      </c>
      <c r="K25" s="14" t="s">
        <v>28</v>
      </c>
      <c r="L25" s="16"/>
      <c r="M25" s="16"/>
      <c r="N25" s="14" t="s">
        <v>106</v>
      </c>
      <c r="O25" s="16"/>
      <c r="P25" s="14" t="s">
        <v>78</v>
      </c>
      <c r="Q25" s="16"/>
      <c r="R25" s="14" t="s">
        <v>70</v>
      </c>
      <c r="S25" s="14" t="s">
        <v>38</v>
      </c>
      <c r="T25" s="14" t="s">
        <v>34</v>
      </c>
      <c r="U25" s="14" t="s">
        <v>46</v>
      </c>
      <c r="V25" s="14" t="s">
        <v>49</v>
      </c>
      <c r="W25" s="17"/>
      <c r="X25" s="17"/>
      <c r="Y25" s="17"/>
      <c r="Z25" s="17"/>
    </row>
    <row r="26" spans="1:26" ht="18" customHeight="1" x14ac:dyDescent="0.2">
      <c r="A26" s="7" t="s">
        <v>107</v>
      </c>
      <c r="B26" s="8">
        <v>3</v>
      </c>
      <c r="C26" s="9">
        <v>25</v>
      </c>
      <c r="D26" s="9" t="s">
        <v>108</v>
      </c>
      <c r="E26" s="10" t="e">
        <f t="array" aca="1" ref="E26" ca="1">_xludf.IFS(B26=1,20,B26=2,15,B26=3,10,B26&gt;=4,5)</f>
        <v>#NAME?</v>
      </c>
      <c r="F26" s="9">
        <v>49</v>
      </c>
      <c r="G26" s="9" t="s">
        <v>30</v>
      </c>
      <c r="H26" s="9" t="s">
        <v>43</v>
      </c>
      <c r="I26" s="9" t="s">
        <v>37</v>
      </c>
      <c r="J26" s="11"/>
      <c r="K26" s="11"/>
      <c r="L26" s="9" t="s">
        <v>34</v>
      </c>
      <c r="M26" s="11"/>
      <c r="N26" s="9" t="s">
        <v>82</v>
      </c>
      <c r="O26" s="11"/>
      <c r="P26" s="9" t="s">
        <v>49</v>
      </c>
      <c r="Q26" s="11"/>
      <c r="R26" s="9" t="s">
        <v>32</v>
      </c>
      <c r="S26" s="9" t="s">
        <v>46</v>
      </c>
      <c r="T26" s="9" t="s">
        <v>89</v>
      </c>
      <c r="U26" s="11"/>
      <c r="V26" s="9" t="s">
        <v>88</v>
      </c>
    </row>
    <row r="27" spans="1:26" ht="18" customHeight="1" x14ac:dyDescent="0.2">
      <c r="A27" s="7" t="s">
        <v>109</v>
      </c>
      <c r="B27" s="8">
        <v>3</v>
      </c>
      <c r="C27" s="9">
        <v>15</v>
      </c>
      <c r="D27" s="9" t="s">
        <v>110</v>
      </c>
      <c r="E27" s="10" t="e">
        <f t="array" aca="1" ref="E27" ca="1">_xludf.IFS(B27=1,20,B27=2,15,B27=3,10,B27&gt;=4,5)</f>
        <v>#NAME?</v>
      </c>
      <c r="F27" s="9" t="s">
        <v>111</v>
      </c>
      <c r="G27" s="9" t="s">
        <v>43</v>
      </c>
      <c r="H27" s="9" t="s">
        <v>43</v>
      </c>
      <c r="I27" s="9" t="s">
        <v>56</v>
      </c>
      <c r="J27" s="9" t="s">
        <v>66</v>
      </c>
      <c r="K27" s="11"/>
      <c r="L27" s="11"/>
      <c r="M27" s="9" t="s">
        <v>94</v>
      </c>
      <c r="N27" s="9" t="s">
        <v>56</v>
      </c>
      <c r="O27" s="11"/>
      <c r="P27" s="9" t="s">
        <v>43</v>
      </c>
      <c r="Q27" s="11"/>
      <c r="R27" s="11"/>
      <c r="S27" s="11"/>
      <c r="T27" s="11"/>
      <c r="U27" s="11"/>
      <c r="V27" s="11"/>
    </row>
    <row r="28" spans="1:26" ht="18" customHeight="1" x14ac:dyDescent="0.2">
      <c r="A28" s="7" t="s">
        <v>112</v>
      </c>
      <c r="B28" s="8">
        <v>3</v>
      </c>
      <c r="C28" s="9">
        <v>35</v>
      </c>
      <c r="D28" s="9" t="s">
        <v>113</v>
      </c>
      <c r="E28" s="10" t="e">
        <f t="array" aca="1" ref="E28" ca="1">_xludf.IFS(B28=1,20,B28=2,15,B28=3,10,B28&gt;=4,5)</f>
        <v>#NAME?</v>
      </c>
      <c r="F28" s="9" t="s">
        <v>111</v>
      </c>
      <c r="G28" s="9" t="s">
        <v>30</v>
      </c>
      <c r="H28" s="9" t="s">
        <v>37</v>
      </c>
      <c r="I28" s="9" t="s">
        <v>105</v>
      </c>
      <c r="J28" s="9" t="s">
        <v>43</v>
      </c>
      <c r="K28" s="11"/>
      <c r="L28" s="11"/>
      <c r="M28" s="9" t="s">
        <v>57</v>
      </c>
      <c r="N28" s="9" t="s">
        <v>82</v>
      </c>
      <c r="O28" s="11"/>
      <c r="P28" s="9" t="s">
        <v>43</v>
      </c>
      <c r="Q28" s="11"/>
      <c r="R28" s="9" t="s">
        <v>53</v>
      </c>
      <c r="S28" s="9" t="s">
        <v>37</v>
      </c>
      <c r="T28" s="11"/>
      <c r="U28" s="9" t="s">
        <v>43</v>
      </c>
      <c r="V28" s="9" t="s">
        <v>78</v>
      </c>
    </row>
    <row r="29" spans="1:26" ht="18" customHeight="1" x14ac:dyDescent="0.2">
      <c r="A29" s="7" t="s">
        <v>114</v>
      </c>
      <c r="B29" s="8">
        <v>3</v>
      </c>
      <c r="C29" s="9">
        <v>53</v>
      </c>
      <c r="D29" s="9" t="s">
        <v>115</v>
      </c>
      <c r="E29" s="10" t="e">
        <f t="array" aca="1" ref="E29" ca="1">_xludf.IFS(B29=1,20,B29=2,15,B29=3,10,B29&gt;=4,5)</f>
        <v>#NAME?</v>
      </c>
      <c r="F29" s="9" t="s">
        <v>43</v>
      </c>
      <c r="G29" s="9" t="s">
        <v>30</v>
      </c>
      <c r="H29" s="9" t="s">
        <v>105</v>
      </c>
      <c r="I29" s="9" t="s">
        <v>116</v>
      </c>
      <c r="J29" s="9">
        <v>54</v>
      </c>
      <c r="K29" s="11"/>
      <c r="L29" s="9" t="s">
        <v>66</v>
      </c>
      <c r="M29" s="11"/>
      <c r="N29" s="9" t="s">
        <v>85</v>
      </c>
      <c r="O29" s="11"/>
      <c r="P29" s="9" t="s">
        <v>81</v>
      </c>
      <c r="Q29" s="11"/>
      <c r="R29" s="9">
        <v>4</v>
      </c>
      <c r="S29" s="11"/>
      <c r="T29" s="11"/>
      <c r="U29" s="9" t="s">
        <v>94</v>
      </c>
      <c r="V29" s="9" t="s">
        <v>31</v>
      </c>
    </row>
    <row r="30" spans="1:26" ht="18" customHeight="1" x14ac:dyDescent="0.2">
      <c r="A30" s="7" t="s">
        <v>117</v>
      </c>
      <c r="B30" s="8">
        <v>3</v>
      </c>
      <c r="C30" s="9">
        <v>21</v>
      </c>
      <c r="D30" s="9" t="s">
        <v>118</v>
      </c>
      <c r="E30" s="10" t="e">
        <f t="array" aca="1" ref="E30" ca="1">_xludf.IFS(B30=1,20,B30=2,15,B30=3,10,B30&gt;=4,5)</f>
        <v>#NAME?</v>
      </c>
      <c r="F30" s="9" t="s">
        <v>119</v>
      </c>
      <c r="G30" s="9" t="s">
        <v>99</v>
      </c>
      <c r="H30" s="11"/>
      <c r="I30" s="11"/>
      <c r="J30" s="11"/>
      <c r="K30" s="11"/>
      <c r="L30" s="11"/>
      <c r="M30" s="11"/>
      <c r="N30" s="9" t="s">
        <v>78</v>
      </c>
      <c r="O30" s="11"/>
      <c r="P30" s="9">
        <v>1</v>
      </c>
      <c r="Q30" s="11"/>
      <c r="R30" s="9" t="s">
        <v>77</v>
      </c>
      <c r="S30" s="9" t="s">
        <v>49</v>
      </c>
      <c r="T30" s="9" t="s">
        <v>34</v>
      </c>
      <c r="U30" s="9" t="s">
        <v>43</v>
      </c>
      <c r="V30" s="9" t="s">
        <v>43</v>
      </c>
    </row>
    <row r="31" spans="1:26" ht="18" customHeight="1" x14ac:dyDescent="0.2">
      <c r="A31" s="12" t="s">
        <v>120</v>
      </c>
      <c r="B31" s="13">
        <v>3</v>
      </c>
      <c r="C31" s="14">
        <v>13</v>
      </c>
      <c r="D31" s="14" t="s">
        <v>121</v>
      </c>
      <c r="E31" s="15" t="e">
        <f t="array" aca="1" ref="E31" ca="1">_xludf.IFS(B31=1,20,B31=2,15,B31=3,10,B31&gt;=4,5)</f>
        <v>#NAME?</v>
      </c>
      <c r="F31" s="14" t="s">
        <v>43</v>
      </c>
      <c r="G31" s="14" t="s">
        <v>77</v>
      </c>
      <c r="H31" s="14" t="s">
        <v>44</v>
      </c>
      <c r="I31" s="14" t="s">
        <v>94</v>
      </c>
      <c r="J31" s="16"/>
      <c r="K31" s="14" t="s">
        <v>43</v>
      </c>
      <c r="L31" s="16"/>
      <c r="M31" s="16"/>
      <c r="N31" s="14" t="s">
        <v>56</v>
      </c>
      <c r="O31" s="16"/>
      <c r="P31" s="14" t="s">
        <v>78</v>
      </c>
      <c r="Q31" s="16"/>
      <c r="R31" s="14" t="s">
        <v>106</v>
      </c>
      <c r="S31" s="14" t="s">
        <v>46</v>
      </c>
      <c r="T31" s="14" t="s">
        <v>29</v>
      </c>
      <c r="U31" s="16"/>
      <c r="V31" s="14" t="s">
        <v>43</v>
      </c>
      <c r="W31" s="17"/>
      <c r="X31" s="17"/>
      <c r="Y31" s="17"/>
      <c r="Z31" s="17"/>
    </row>
    <row r="32" spans="1:26" ht="18" customHeight="1" x14ac:dyDescent="0.2">
      <c r="A32" s="7" t="s">
        <v>122</v>
      </c>
      <c r="B32" s="8">
        <v>3</v>
      </c>
      <c r="C32" s="9">
        <v>31</v>
      </c>
      <c r="D32" s="9" t="s">
        <v>123</v>
      </c>
      <c r="E32" s="10" t="e">
        <f t="array" aca="1" ref="E32" ca="1">_xludf.IFS(B32=1,20,B32=2,15,B32=3,10,B32&gt;=4,5)</f>
        <v>#NAME?</v>
      </c>
      <c r="F32" s="9" t="s">
        <v>37</v>
      </c>
      <c r="G32" s="9" t="s">
        <v>62</v>
      </c>
      <c r="H32" s="9" t="s">
        <v>70</v>
      </c>
      <c r="I32" s="9">
        <v>52</v>
      </c>
      <c r="J32" s="9" t="s">
        <v>29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6" ht="18" customHeight="1" x14ac:dyDescent="0.2">
      <c r="A33" s="12" t="s">
        <v>124</v>
      </c>
      <c r="B33" s="13">
        <v>3</v>
      </c>
      <c r="C33" s="14">
        <v>41</v>
      </c>
      <c r="D33" s="14" t="s">
        <v>123</v>
      </c>
      <c r="E33" s="15" t="e">
        <f t="array" aca="1" ref="E33" ca="1">_xludf.IFS(B33=1,20,B33=2,15,B33=3,10,B33&gt;=4,5)</f>
        <v>#NAME?</v>
      </c>
      <c r="F33" s="14" t="s">
        <v>56</v>
      </c>
      <c r="G33" s="14" t="s">
        <v>94</v>
      </c>
      <c r="H33" s="14" t="s">
        <v>105</v>
      </c>
      <c r="I33" s="16"/>
      <c r="J33" s="14" t="s">
        <v>43</v>
      </c>
      <c r="K33" s="16"/>
      <c r="L33" s="14" t="s">
        <v>49</v>
      </c>
      <c r="M33" s="16"/>
      <c r="N33" s="14" t="s">
        <v>125</v>
      </c>
      <c r="O33" s="16"/>
      <c r="P33" s="14" t="s">
        <v>43</v>
      </c>
      <c r="Q33" s="16"/>
      <c r="R33" s="14" t="s">
        <v>43</v>
      </c>
      <c r="S33" s="14" t="s">
        <v>31</v>
      </c>
      <c r="T33" s="16"/>
      <c r="U33" s="14" t="s">
        <v>88</v>
      </c>
      <c r="V33" s="14" t="s">
        <v>46</v>
      </c>
      <c r="W33" s="17"/>
      <c r="X33" s="17"/>
      <c r="Y33" s="17"/>
      <c r="Z33" s="17"/>
    </row>
    <row r="34" spans="1:26" ht="18" customHeight="1" x14ac:dyDescent="0.2">
      <c r="A34" s="7" t="s">
        <v>126</v>
      </c>
      <c r="B34" s="8">
        <v>3</v>
      </c>
      <c r="C34" s="9">
        <v>42</v>
      </c>
      <c r="D34" s="9" t="s">
        <v>123</v>
      </c>
      <c r="E34" s="10" t="e">
        <f t="array" aca="1" ref="E34" ca="1">_xludf.IFS(B34=1,20,B34=2,15,B34=3,10,B34&gt;=4,5)</f>
        <v>#NAME?</v>
      </c>
      <c r="F34" s="11"/>
      <c r="G34" s="9" t="s">
        <v>63</v>
      </c>
      <c r="H34" s="11"/>
      <c r="I34" s="11"/>
      <c r="J34" s="11"/>
      <c r="K34" s="11"/>
      <c r="L34" s="9" t="s">
        <v>49</v>
      </c>
      <c r="M34" s="11"/>
      <c r="N34" s="9" t="s">
        <v>43</v>
      </c>
      <c r="O34" s="11"/>
      <c r="P34" s="11"/>
      <c r="Q34" s="11"/>
      <c r="R34" s="9">
        <v>6</v>
      </c>
      <c r="S34" s="9" t="s">
        <v>56</v>
      </c>
      <c r="T34" s="9">
        <v>8</v>
      </c>
      <c r="U34" s="9" t="s">
        <v>40</v>
      </c>
      <c r="V34" s="11"/>
    </row>
    <row r="35" spans="1:26" ht="18" customHeight="1" x14ac:dyDescent="0.2">
      <c r="A35" s="7" t="s">
        <v>127</v>
      </c>
      <c r="B35" s="8">
        <v>3</v>
      </c>
      <c r="C35" s="9">
        <v>32</v>
      </c>
      <c r="D35" s="9" t="s">
        <v>128</v>
      </c>
      <c r="E35" s="10" t="e">
        <f t="array" aca="1" ref="E35" ca="1">_xludf.IFS(B35=1,20,B35=2,15,B35=3,10,B35&gt;=4,5)</f>
        <v>#NAME?</v>
      </c>
      <c r="F35" s="9" t="s">
        <v>119</v>
      </c>
      <c r="G35" s="9" t="s">
        <v>129</v>
      </c>
      <c r="H35" s="9" t="s">
        <v>77</v>
      </c>
      <c r="I35" s="9" t="s">
        <v>34</v>
      </c>
      <c r="J35" s="9" t="s">
        <v>66</v>
      </c>
      <c r="K35" s="11"/>
      <c r="L35" s="9" t="s">
        <v>89</v>
      </c>
      <c r="M35" s="11"/>
      <c r="N35" s="9" t="s">
        <v>43</v>
      </c>
      <c r="O35" s="11"/>
      <c r="P35" s="9" t="s">
        <v>43</v>
      </c>
      <c r="Q35" s="9" t="s">
        <v>46</v>
      </c>
      <c r="R35" s="9" t="s">
        <v>31</v>
      </c>
      <c r="S35" s="9" t="s">
        <v>56</v>
      </c>
      <c r="T35" s="11"/>
      <c r="U35" s="11"/>
      <c r="V35" s="11"/>
    </row>
    <row r="36" spans="1:26" ht="18" customHeight="1" x14ac:dyDescent="0.2">
      <c r="A36" s="12" t="s">
        <v>130</v>
      </c>
      <c r="B36" s="13">
        <v>4</v>
      </c>
      <c r="C36" s="14">
        <v>33</v>
      </c>
      <c r="D36" s="14" t="s">
        <v>131</v>
      </c>
      <c r="E36" s="15" t="e">
        <f t="array" aca="1" ref="E36" ca="1">_xludf.IFS(B36=1,20,B36=2,15,B36=3,10,B36&gt;=4,5)</f>
        <v>#NAME?</v>
      </c>
      <c r="F36" s="14" t="s">
        <v>44</v>
      </c>
      <c r="G36" s="14" t="s">
        <v>43</v>
      </c>
      <c r="H36" s="14" t="s">
        <v>83</v>
      </c>
      <c r="I36" s="14" t="s">
        <v>43</v>
      </c>
      <c r="J36" s="16"/>
      <c r="K36" s="16"/>
      <c r="L36" s="14" t="s">
        <v>66</v>
      </c>
      <c r="M36" s="16"/>
      <c r="N36" s="14" t="s">
        <v>78</v>
      </c>
      <c r="O36" s="16"/>
      <c r="P36" s="14" t="s">
        <v>43</v>
      </c>
      <c r="Q36" s="16"/>
      <c r="R36" s="14" t="s">
        <v>43</v>
      </c>
      <c r="S36" s="14" t="s">
        <v>49</v>
      </c>
      <c r="T36" s="14" t="s">
        <v>43</v>
      </c>
      <c r="U36" s="16"/>
      <c r="V36" s="14" t="s">
        <v>39</v>
      </c>
      <c r="W36" s="17"/>
      <c r="X36" s="17"/>
      <c r="Y36" s="17"/>
      <c r="Z36" s="17"/>
    </row>
    <row r="37" spans="1:26" ht="18" customHeight="1" x14ac:dyDescent="0.2">
      <c r="A37" s="7" t="s">
        <v>132</v>
      </c>
      <c r="B37" s="8">
        <v>4</v>
      </c>
      <c r="C37" s="9">
        <v>44</v>
      </c>
      <c r="D37" s="9" t="s">
        <v>133</v>
      </c>
      <c r="E37" s="10" t="e">
        <f t="array" aca="1" ref="E37" ca="1">_xludf.IFS(B37=1,20,B37=2,15,B37=3,10,B37&gt;=4,5)</f>
        <v>#NAME?</v>
      </c>
      <c r="F37" s="9" t="s">
        <v>56</v>
      </c>
      <c r="G37" s="9" t="s">
        <v>88</v>
      </c>
      <c r="H37" s="9" t="s">
        <v>43</v>
      </c>
      <c r="I37" s="9" t="s">
        <v>49</v>
      </c>
      <c r="J37" s="9" t="s">
        <v>56</v>
      </c>
      <c r="K37" s="11"/>
      <c r="L37" s="11"/>
      <c r="M37" s="9" t="s">
        <v>37</v>
      </c>
      <c r="N37" s="9" t="s">
        <v>78</v>
      </c>
      <c r="O37" s="11"/>
      <c r="P37" s="9" t="s">
        <v>134</v>
      </c>
      <c r="Q37" s="11"/>
      <c r="R37" s="9" t="s">
        <v>53</v>
      </c>
      <c r="S37" s="9" t="s">
        <v>135</v>
      </c>
      <c r="T37" s="9" t="s">
        <v>43</v>
      </c>
      <c r="U37" s="11"/>
      <c r="V37" s="11"/>
    </row>
    <row r="38" spans="1:26" ht="18" customHeight="1" x14ac:dyDescent="0.2">
      <c r="A38" s="12" t="s">
        <v>136</v>
      </c>
      <c r="B38" s="13">
        <v>4</v>
      </c>
      <c r="C38" s="14">
        <v>36</v>
      </c>
      <c r="D38" s="14" t="s">
        <v>137</v>
      </c>
      <c r="E38" s="15" t="e">
        <f t="array" aca="1" ref="E38" ca="1">_xludf.IFS(B38=1,20,B38=2,15,B38=3,10,B38&gt;=4,5)</f>
        <v>#NAME?</v>
      </c>
      <c r="F38" s="14" t="s">
        <v>43</v>
      </c>
      <c r="G38" s="14" t="s">
        <v>77</v>
      </c>
      <c r="H38" s="16"/>
      <c r="I38" s="16"/>
      <c r="J38" s="16"/>
      <c r="K38" s="16"/>
      <c r="L38" s="14">
        <v>2</v>
      </c>
      <c r="M38" s="14" t="s">
        <v>63</v>
      </c>
      <c r="N38" s="14" t="s">
        <v>39</v>
      </c>
      <c r="O38" s="16"/>
      <c r="P38" s="14" t="s">
        <v>31</v>
      </c>
      <c r="Q38" s="14" t="s">
        <v>49</v>
      </c>
      <c r="R38" s="16"/>
      <c r="S38" s="16"/>
      <c r="T38" s="14" t="s">
        <v>34</v>
      </c>
      <c r="U38" s="14" t="s">
        <v>30</v>
      </c>
      <c r="V38" s="16"/>
      <c r="W38" s="17"/>
      <c r="X38" s="17"/>
      <c r="Y38" s="17"/>
      <c r="Z38" s="17"/>
    </row>
    <row r="39" spans="1:26" ht="18" customHeight="1" x14ac:dyDescent="0.2">
      <c r="A39" s="7" t="s">
        <v>138</v>
      </c>
      <c r="B39" s="8">
        <v>4</v>
      </c>
      <c r="C39" s="9">
        <v>5</v>
      </c>
      <c r="D39" s="9" t="s">
        <v>139</v>
      </c>
      <c r="E39" s="10" t="e">
        <f t="array" aca="1" ref="E39" ca="1">_xludf.IFS(B39=1,20,B39=2,15,B39=3,10,B39&gt;=4,5)</f>
        <v>#NAME?</v>
      </c>
      <c r="F39" s="9">
        <v>50</v>
      </c>
      <c r="G39" s="11"/>
      <c r="H39" s="11"/>
      <c r="I39" s="9" t="s">
        <v>140</v>
      </c>
      <c r="J39" s="11"/>
      <c r="K39" s="9">
        <v>1</v>
      </c>
      <c r="L39" s="11"/>
      <c r="M39" s="9" t="s">
        <v>43</v>
      </c>
      <c r="N39" s="9" t="s">
        <v>31</v>
      </c>
      <c r="O39" s="11"/>
      <c r="P39" s="9" t="s">
        <v>43</v>
      </c>
      <c r="Q39" s="11"/>
      <c r="R39" s="9" t="s">
        <v>43</v>
      </c>
      <c r="S39" s="9" t="s">
        <v>38</v>
      </c>
      <c r="T39" s="11"/>
      <c r="U39" s="9" t="s">
        <v>43</v>
      </c>
      <c r="V39" s="11"/>
    </row>
    <row r="40" spans="1:26" ht="18" customHeight="1" x14ac:dyDescent="0.2">
      <c r="A40" s="12" t="s">
        <v>141</v>
      </c>
      <c r="B40" s="13">
        <v>4</v>
      </c>
      <c r="C40" s="14">
        <v>34</v>
      </c>
      <c r="D40" s="14" t="s">
        <v>139</v>
      </c>
      <c r="E40" s="15" t="e">
        <f t="array" aca="1" ref="E40" ca="1">_xludf.IFS(B40=1,20,B40=2,15,B40=3,10,B40&gt;=4,5)</f>
        <v>#NAME?</v>
      </c>
      <c r="F40" s="16"/>
      <c r="G40" s="14" t="s">
        <v>99</v>
      </c>
      <c r="H40" s="14" t="s">
        <v>43</v>
      </c>
      <c r="I40" s="16"/>
      <c r="J40" s="16"/>
      <c r="K40" s="16"/>
      <c r="L40" s="14" t="s">
        <v>142</v>
      </c>
      <c r="M40" s="16"/>
      <c r="N40" s="14" t="s">
        <v>43</v>
      </c>
      <c r="O40" s="16"/>
      <c r="P40" s="14" t="s">
        <v>29</v>
      </c>
      <c r="Q40" s="16"/>
      <c r="R40" s="14" t="s">
        <v>46</v>
      </c>
      <c r="S40" s="14" t="s">
        <v>116</v>
      </c>
      <c r="T40" s="14" t="s">
        <v>31</v>
      </c>
      <c r="U40" s="16"/>
      <c r="V40" s="14" t="s">
        <v>43</v>
      </c>
      <c r="W40" s="17"/>
      <c r="X40" s="17"/>
      <c r="Y40" s="17"/>
      <c r="Z40" s="17"/>
    </row>
    <row r="41" spans="1:26" ht="18" customHeight="1" x14ac:dyDescent="0.2">
      <c r="A41" s="12" t="s">
        <v>143</v>
      </c>
      <c r="B41" s="13">
        <v>4</v>
      </c>
      <c r="C41" s="14">
        <v>18</v>
      </c>
      <c r="D41" s="14" t="s">
        <v>144</v>
      </c>
      <c r="E41" s="15" t="e">
        <f t="array" aca="1" ref="E41" ca="1">_xludf.IFS(B41=1,20,B41=2,15,B41=3,10,B41&gt;=4,5)</f>
        <v>#NAME?</v>
      </c>
      <c r="F41" s="16"/>
      <c r="G41" s="16"/>
      <c r="H41" s="16"/>
      <c r="I41" s="16"/>
      <c r="J41" s="16"/>
      <c r="K41" s="16"/>
      <c r="L41" s="16"/>
      <c r="M41" s="14" t="s">
        <v>37</v>
      </c>
      <c r="N41" s="14" t="s">
        <v>40</v>
      </c>
      <c r="O41" s="16"/>
      <c r="P41" s="14" t="s">
        <v>29</v>
      </c>
      <c r="Q41" s="16"/>
      <c r="R41" s="14">
        <v>1</v>
      </c>
      <c r="S41" s="14" t="s">
        <v>56</v>
      </c>
      <c r="T41" s="14" t="s">
        <v>29</v>
      </c>
      <c r="U41" s="16"/>
      <c r="V41" s="14" t="s">
        <v>78</v>
      </c>
      <c r="W41" s="17"/>
      <c r="X41" s="17"/>
      <c r="Y41" s="17"/>
      <c r="Z41" s="17"/>
    </row>
    <row r="42" spans="1:26" ht="18" customHeight="1" x14ac:dyDescent="0.2">
      <c r="A42" s="12" t="s">
        <v>145</v>
      </c>
      <c r="B42" s="13">
        <v>4</v>
      </c>
      <c r="C42" s="14">
        <v>27</v>
      </c>
      <c r="D42" s="14" t="s">
        <v>146</v>
      </c>
      <c r="E42" s="15" t="e">
        <f t="array" aca="1" ref="E42" ca="1">_xludf.IFS(B42=1,20,B42=2,15,B42=3,10,B42&gt;=4,5)</f>
        <v>#NAME?</v>
      </c>
      <c r="F42" s="14" t="s">
        <v>82</v>
      </c>
      <c r="G42" s="16"/>
      <c r="H42" s="16"/>
      <c r="I42" s="16"/>
      <c r="J42" s="16"/>
      <c r="K42" s="14" t="s">
        <v>66</v>
      </c>
      <c r="L42" s="16"/>
      <c r="M42" s="16"/>
      <c r="N42" s="14" t="s">
        <v>82</v>
      </c>
      <c r="O42" s="16"/>
      <c r="P42" s="14" t="s">
        <v>78</v>
      </c>
      <c r="Q42" s="16"/>
      <c r="R42" s="14" t="s">
        <v>43</v>
      </c>
      <c r="S42" s="14" t="s">
        <v>83</v>
      </c>
      <c r="T42" s="14" t="s">
        <v>78</v>
      </c>
      <c r="U42" s="14">
        <v>10</v>
      </c>
      <c r="V42" s="16"/>
      <c r="W42" s="17"/>
      <c r="X42" s="17"/>
      <c r="Y42" s="17"/>
      <c r="Z42" s="17"/>
    </row>
    <row r="43" spans="1:26" ht="18" customHeight="1" x14ac:dyDescent="0.2">
      <c r="A43" s="12" t="s">
        <v>147</v>
      </c>
      <c r="B43" s="13">
        <v>5</v>
      </c>
      <c r="C43" s="14">
        <v>49</v>
      </c>
      <c r="D43" s="14" t="s">
        <v>148</v>
      </c>
      <c r="E43" s="15" t="e">
        <f t="array" aca="1" ref="E43" ca="1">_xludf.IFS(B43=1,20,B43=2,15,B43=3,10,B43&gt;=4,5)</f>
        <v>#NAME?</v>
      </c>
      <c r="F43" s="14" t="s">
        <v>37</v>
      </c>
      <c r="G43" s="16"/>
      <c r="H43" s="16"/>
      <c r="I43" s="16"/>
      <c r="J43" s="16"/>
      <c r="K43" s="14" t="s">
        <v>105</v>
      </c>
      <c r="L43" s="16"/>
      <c r="M43" s="14" t="s">
        <v>43</v>
      </c>
      <c r="N43" s="14" t="s">
        <v>43</v>
      </c>
      <c r="O43" s="16"/>
      <c r="P43" s="14" t="s">
        <v>59</v>
      </c>
      <c r="Q43" s="16"/>
      <c r="R43" s="14" t="s">
        <v>31</v>
      </c>
      <c r="S43" s="14" t="s">
        <v>149</v>
      </c>
      <c r="T43" s="14" t="s">
        <v>43</v>
      </c>
      <c r="U43" s="14" t="s">
        <v>29</v>
      </c>
      <c r="V43" s="14" t="s">
        <v>46</v>
      </c>
      <c r="W43" s="17"/>
      <c r="X43" s="17"/>
      <c r="Y43" s="17"/>
      <c r="Z43" s="17"/>
    </row>
    <row r="44" spans="1:26" ht="18" customHeight="1" x14ac:dyDescent="0.2">
      <c r="A44" s="12" t="s">
        <v>150</v>
      </c>
      <c r="B44" s="13">
        <v>5</v>
      </c>
      <c r="C44" s="14">
        <v>999</v>
      </c>
      <c r="D44" s="14" t="s">
        <v>148</v>
      </c>
      <c r="E44" s="15" t="e">
        <f t="array" aca="1" ref="E44" ca="1">_xludf.IFS(B44=1,20,B44=2,15,B44=3,10,B44&gt;=4,5)</f>
        <v>#NAME?</v>
      </c>
      <c r="F44" s="14" t="s">
        <v>43</v>
      </c>
      <c r="G44" s="14" t="s">
        <v>49</v>
      </c>
      <c r="H44" s="14" t="s">
        <v>70</v>
      </c>
      <c r="I44" s="14" t="s">
        <v>34</v>
      </c>
      <c r="J44" s="14" t="s">
        <v>28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  <c r="X44" s="17"/>
      <c r="Y44" s="17"/>
      <c r="Z44" s="17"/>
    </row>
    <row r="45" spans="1:26" ht="18" customHeight="1" x14ac:dyDescent="0.2">
      <c r="A45" s="12" t="s">
        <v>151</v>
      </c>
      <c r="B45" s="13">
        <v>5</v>
      </c>
      <c r="C45" s="14">
        <v>20</v>
      </c>
      <c r="D45" s="14" t="s">
        <v>152</v>
      </c>
      <c r="E45" s="15" t="e">
        <f t="array" aca="1" ref="E45" ca="1">_xludf.IFS(B45=1,20,B45=2,15,B45=3,10,B45&gt;=4,5)</f>
        <v>#NAME?</v>
      </c>
      <c r="F45" s="14" t="s">
        <v>32</v>
      </c>
      <c r="G45" s="14" t="s">
        <v>30</v>
      </c>
      <c r="H45" s="14" t="s">
        <v>129</v>
      </c>
      <c r="I45" s="16"/>
      <c r="J45" s="14" t="s">
        <v>66</v>
      </c>
      <c r="K45" s="16"/>
      <c r="L45" s="14" t="s">
        <v>66</v>
      </c>
      <c r="M45" s="16"/>
      <c r="N45" s="14" t="s">
        <v>43</v>
      </c>
      <c r="O45" s="16"/>
      <c r="P45" s="14" t="s">
        <v>31</v>
      </c>
      <c r="Q45" s="16"/>
      <c r="R45" s="14" t="s">
        <v>30</v>
      </c>
      <c r="S45" s="14" t="s">
        <v>31</v>
      </c>
      <c r="T45" s="14" t="s">
        <v>89</v>
      </c>
      <c r="U45" s="14" t="s">
        <v>30</v>
      </c>
      <c r="V45" s="14" t="s">
        <v>39</v>
      </c>
      <c r="W45" s="17"/>
      <c r="X45" s="17"/>
      <c r="Y45" s="17"/>
      <c r="Z45" s="17"/>
    </row>
    <row r="46" spans="1:26" ht="18" customHeight="1" x14ac:dyDescent="0.2">
      <c r="A46" s="12" t="s">
        <v>153</v>
      </c>
      <c r="B46" s="13">
        <v>5</v>
      </c>
      <c r="C46" s="14">
        <v>16</v>
      </c>
      <c r="D46" s="14" t="s">
        <v>154</v>
      </c>
      <c r="E46" s="15" t="e">
        <f t="array" aca="1" ref="E46" ca="1">_xludf.IFS(B46=1,20,B46=2,15,B46=3,10,B46&gt;=4,5)</f>
        <v>#NAME?</v>
      </c>
      <c r="F46" s="16"/>
      <c r="G46" s="16"/>
      <c r="H46" s="16"/>
      <c r="I46" s="16"/>
      <c r="J46" s="16"/>
      <c r="K46" s="16"/>
      <c r="L46" s="14" t="s">
        <v>89</v>
      </c>
      <c r="M46" s="14" t="s">
        <v>43</v>
      </c>
      <c r="N46" s="14" t="s">
        <v>43</v>
      </c>
      <c r="O46" s="16"/>
      <c r="P46" s="14" t="s">
        <v>43</v>
      </c>
      <c r="Q46" s="16"/>
      <c r="R46" s="14" t="s">
        <v>59</v>
      </c>
      <c r="S46" s="14" t="s">
        <v>53</v>
      </c>
      <c r="T46" s="14" t="s">
        <v>89</v>
      </c>
      <c r="U46" s="16"/>
      <c r="V46" s="14" t="s">
        <v>31</v>
      </c>
      <c r="W46" s="17"/>
      <c r="X46" s="17"/>
      <c r="Y46" s="17"/>
      <c r="Z46" s="17"/>
    </row>
    <row r="47" spans="1:26" ht="18" customHeight="1" x14ac:dyDescent="0.2">
      <c r="A47" s="12" t="s">
        <v>155</v>
      </c>
      <c r="B47" s="13">
        <v>5</v>
      </c>
      <c r="C47" s="14">
        <v>38</v>
      </c>
      <c r="D47" s="14" t="s">
        <v>154</v>
      </c>
      <c r="E47" s="15" t="e">
        <f t="array" aca="1" ref="E47" ca="1">_xludf.IFS(B47=1,20,B47=2,15,B47=3,10,B47&gt;=4,5)</f>
        <v>#NAME?</v>
      </c>
      <c r="F47" s="14" t="s">
        <v>66</v>
      </c>
      <c r="G47" s="16"/>
      <c r="H47" s="16"/>
      <c r="I47" s="14" t="s">
        <v>106</v>
      </c>
      <c r="J47" s="14" t="s">
        <v>43</v>
      </c>
      <c r="K47" s="16"/>
      <c r="L47" s="16"/>
      <c r="M47" s="16"/>
      <c r="N47" s="14" t="s">
        <v>156</v>
      </c>
      <c r="O47" s="16"/>
      <c r="P47" s="14">
        <v>2</v>
      </c>
      <c r="Q47" s="14" t="s">
        <v>82</v>
      </c>
      <c r="R47" s="14" t="s">
        <v>43</v>
      </c>
      <c r="S47" s="14" t="s">
        <v>157</v>
      </c>
      <c r="T47" s="14" t="s">
        <v>77</v>
      </c>
      <c r="U47" s="16"/>
      <c r="V47" s="14" t="s">
        <v>85</v>
      </c>
      <c r="W47" s="17"/>
      <c r="X47" s="17"/>
      <c r="Y47" s="17"/>
      <c r="Z47" s="17"/>
    </row>
    <row r="48" spans="1:26" ht="18" customHeight="1" x14ac:dyDescent="0.2">
      <c r="A48" s="12" t="s">
        <v>158</v>
      </c>
      <c r="B48" s="13">
        <v>5</v>
      </c>
      <c r="C48" s="14">
        <v>52</v>
      </c>
      <c r="D48" s="14" t="s">
        <v>154</v>
      </c>
      <c r="E48" s="15" t="e">
        <f t="array" aca="1" ref="E48" ca="1">_xludf.IFS(B48=1,20,B48=2,15,B48=3,10,B48&gt;=4,5)</f>
        <v>#NAME?</v>
      </c>
      <c r="F48" s="16"/>
      <c r="G48" s="14" t="s">
        <v>43</v>
      </c>
      <c r="H48" s="14" t="s">
        <v>37</v>
      </c>
      <c r="I48" s="14" t="s">
        <v>43</v>
      </c>
      <c r="J48" s="14" t="s">
        <v>69</v>
      </c>
      <c r="K48" s="16"/>
      <c r="L48" s="14">
        <v>1</v>
      </c>
      <c r="M48" s="14" t="s">
        <v>37</v>
      </c>
      <c r="N48" s="14" t="s">
        <v>43</v>
      </c>
      <c r="O48" s="16"/>
      <c r="P48" s="16"/>
      <c r="Q48" s="14" t="s">
        <v>43</v>
      </c>
      <c r="R48" s="16"/>
      <c r="S48" s="16"/>
      <c r="T48" s="14" t="s">
        <v>159</v>
      </c>
      <c r="U48" s="14" t="s">
        <v>43</v>
      </c>
      <c r="V48" s="14">
        <v>72</v>
      </c>
      <c r="W48" s="17"/>
      <c r="X48" s="17"/>
      <c r="Y48" s="17"/>
      <c r="Z48" s="17"/>
    </row>
    <row r="49" spans="1:26" ht="18" customHeight="1" x14ac:dyDescent="0.2">
      <c r="A49" s="7" t="s">
        <v>160</v>
      </c>
      <c r="B49" s="8">
        <v>5</v>
      </c>
      <c r="C49" s="9">
        <v>163</v>
      </c>
      <c r="D49" s="9" t="s">
        <v>161</v>
      </c>
      <c r="E49" s="10" t="e">
        <f t="array" aca="1" ref="E49" ca="1">_xludf.IFS(B49=1,20,B49=2,15,B49=3,10,B49&gt;=4,5)</f>
        <v>#NAME?</v>
      </c>
      <c r="F49" s="9" t="s">
        <v>32</v>
      </c>
      <c r="G49" s="9" t="s">
        <v>34</v>
      </c>
      <c r="H49" s="9" t="s">
        <v>129</v>
      </c>
      <c r="I49" s="9" t="s">
        <v>116</v>
      </c>
      <c r="J49" s="9" t="s">
        <v>43</v>
      </c>
      <c r="K49" s="9" t="s">
        <v>43</v>
      </c>
      <c r="L49" s="11"/>
      <c r="M49" s="9" t="s">
        <v>43</v>
      </c>
      <c r="N49" s="9" t="s">
        <v>82</v>
      </c>
      <c r="O49" s="11"/>
      <c r="P49" s="11"/>
      <c r="Q49" s="9" t="s">
        <v>78</v>
      </c>
      <c r="R49" s="9" t="s">
        <v>53</v>
      </c>
      <c r="S49" s="11"/>
      <c r="T49" s="9" t="s">
        <v>156</v>
      </c>
      <c r="U49" s="9" t="s">
        <v>43</v>
      </c>
      <c r="V49" s="9" t="s">
        <v>39</v>
      </c>
    </row>
    <row r="50" spans="1:26" ht="18" customHeight="1" x14ac:dyDescent="0.2">
      <c r="A50" s="12" t="s">
        <v>162</v>
      </c>
      <c r="B50" s="13">
        <v>5</v>
      </c>
      <c r="C50" s="14">
        <v>71</v>
      </c>
      <c r="D50" s="14" t="s">
        <v>163</v>
      </c>
      <c r="E50" s="15" t="e">
        <f t="array" aca="1" ref="E50" ca="1">_xludf.IFS(B50=1,20,B50=2,15,B50=3,10,B50&gt;=4,5)</f>
        <v>#NAME?</v>
      </c>
      <c r="F50" s="14" t="s">
        <v>40</v>
      </c>
      <c r="G50" s="14" t="s">
        <v>43</v>
      </c>
      <c r="H50" s="14" t="s">
        <v>77</v>
      </c>
      <c r="I50" s="14" t="s">
        <v>56</v>
      </c>
      <c r="J50" s="14" t="s">
        <v>43</v>
      </c>
      <c r="K50" s="16"/>
      <c r="L50" s="14" t="s">
        <v>142</v>
      </c>
      <c r="M50" s="14" t="s">
        <v>33</v>
      </c>
      <c r="N50" s="14" t="s">
        <v>43</v>
      </c>
      <c r="O50" s="16"/>
      <c r="P50" s="14" t="s">
        <v>43</v>
      </c>
      <c r="Q50" s="16"/>
      <c r="R50" s="16"/>
      <c r="S50" s="16"/>
      <c r="T50" s="16"/>
      <c r="U50" s="16"/>
      <c r="V50" s="16"/>
      <c r="W50" s="17"/>
      <c r="X50" s="17"/>
      <c r="Y50" s="17"/>
      <c r="Z50" s="17"/>
    </row>
    <row r="51" spans="1:26" ht="18" customHeight="1" x14ac:dyDescent="0.2">
      <c r="A51" s="12" t="s">
        <v>164</v>
      </c>
      <c r="B51" s="13">
        <v>5</v>
      </c>
      <c r="C51" s="14">
        <v>57</v>
      </c>
      <c r="D51" s="14" t="s">
        <v>165</v>
      </c>
      <c r="E51" s="15" t="e">
        <f t="array" aca="1" ref="E51" ca="1">_xludf.IFS(B51=1,20,B51=2,15,B51=3,10,B51&gt;=4,5)</f>
        <v>#NAME?</v>
      </c>
      <c r="F51" s="14" t="s">
        <v>82</v>
      </c>
      <c r="G51" s="16"/>
      <c r="H51" s="16"/>
      <c r="I51" s="16"/>
      <c r="J51" s="16"/>
      <c r="K51" s="16"/>
      <c r="L51" s="14" t="s">
        <v>89</v>
      </c>
      <c r="M51" s="14" t="s">
        <v>166</v>
      </c>
      <c r="N51" s="14" t="s">
        <v>43</v>
      </c>
      <c r="O51" s="14" t="s">
        <v>43</v>
      </c>
      <c r="P51" s="16"/>
      <c r="Q51" s="14" t="s">
        <v>62</v>
      </c>
      <c r="R51" s="16"/>
      <c r="S51" s="16"/>
      <c r="T51" s="14" t="s">
        <v>31</v>
      </c>
      <c r="U51" s="14" t="s">
        <v>94</v>
      </c>
      <c r="V51" s="14" t="s">
        <v>167</v>
      </c>
      <c r="W51" s="17"/>
      <c r="X51" s="17"/>
      <c r="Y51" s="17"/>
      <c r="Z51" s="17"/>
    </row>
    <row r="52" spans="1:26" ht="18" customHeight="1" x14ac:dyDescent="0.2">
      <c r="A52" s="12" t="s">
        <v>168</v>
      </c>
      <c r="B52" s="13">
        <v>5</v>
      </c>
      <c r="C52" s="14">
        <v>26</v>
      </c>
      <c r="D52" s="14" t="s">
        <v>169</v>
      </c>
      <c r="E52" s="15" t="e">
        <f t="array" aca="1" ref="E52" ca="1">_xludf.IFS(B52=1,20,B52=2,15,B52=3,10,B52&gt;=4,5)</f>
        <v>#NAME?</v>
      </c>
      <c r="F52" s="14" t="s">
        <v>43</v>
      </c>
      <c r="G52" s="14" t="s">
        <v>30</v>
      </c>
      <c r="H52" s="14" t="s">
        <v>140</v>
      </c>
      <c r="I52" s="16"/>
      <c r="J52" s="16"/>
      <c r="K52" s="16"/>
      <c r="L52" s="16"/>
      <c r="M52" s="14" t="s">
        <v>63</v>
      </c>
      <c r="N52" s="14" t="s">
        <v>106</v>
      </c>
      <c r="O52" s="16"/>
      <c r="P52" s="14" t="s">
        <v>43</v>
      </c>
      <c r="Q52" s="16"/>
      <c r="R52" s="14" t="s">
        <v>43</v>
      </c>
      <c r="S52" s="14" t="s">
        <v>83</v>
      </c>
      <c r="T52" s="16"/>
      <c r="U52" s="14" t="s">
        <v>129</v>
      </c>
      <c r="V52" s="16"/>
      <c r="W52" s="17"/>
      <c r="X52" s="17"/>
      <c r="Y52" s="17"/>
      <c r="Z52" s="17"/>
    </row>
    <row r="53" spans="1:26" ht="18" customHeight="1" x14ac:dyDescent="0.2">
      <c r="A53" s="12" t="s">
        <v>170</v>
      </c>
      <c r="B53" s="13">
        <v>5</v>
      </c>
      <c r="C53" s="14">
        <v>37</v>
      </c>
      <c r="D53" s="14" t="s">
        <v>171</v>
      </c>
      <c r="E53" s="15" t="e">
        <f t="array" aca="1" ref="E53" ca="1">_xludf.IFS(B53=1,20,B53=2,15,B53=3,10,B53&gt;=4,5)</f>
        <v>#NAME?</v>
      </c>
      <c r="F53" s="16"/>
      <c r="G53" s="16"/>
      <c r="H53" s="16"/>
      <c r="I53" s="16"/>
      <c r="J53" s="16"/>
      <c r="K53" s="14" t="s">
        <v>66</v>
      </c>
      <c r="L53" s="14" t="s">
        <v>43</v>
      </c>
      <c r="M53" s="14" t="s">
        <v>33</v>
      </c>
      <c r="N53" s="14" t="s">
        <v>43</v>
      </c>
      <c r="O53" s="16"/>
      <c r="P53" s="16"/>
      <c r="Q53" s="16"/>
      <c r="R53" s="14" t="s">
        <v>77</v>
      </c>
      <c r="S53" s="14" t="s">
        <v>159</v>
      </c>
      <c r="T53" s="14" t="s">
        <v>43</v>
      </c>
      <c r="U53" s="14" t="s">
        <v>43</v>
      </c>
      <c r="V53" s="16"/>
      <c r="W53" s="17"/>
      <c r="X53" s="17"/>
      <c r="Y53" s="17"/>
      <c r="Z53" s="17"/>
    </row>
    <row r="54" spans="1:26" ht="18" customHeight="1" x14ac:dyDescent="0.2">
      <c r="A54" s="12" t="s">
        <v>172</v>
      </c>
      <c r="B54" s="13">
        <v>5</v>
      </c>
      <c r="C54" s="14">
        <v>62</v>
      </c>
      <c r="D54" s="14" t="s">
        <v>171</v>
      </c>
      <c r="E54" s="15" t="e">
        <f t="array" aca="1" ref="E54" ca="1">_xludf.IFS(B54=1,20,B54=2,15,B54=3,10,B54&gt;=4,5)</f>
        <v>#NAME?</v>
      </c>
      <c r="F54" s="16"/>
      <c r="G54" s="16"/>
      <c r="H54" s="16"/>
      <c r="I54" s="16"/>
      <c r="J54" s="16"/>
      <c r="K54" s="16"/>
      <c r="L54" s="14" t="s">
        <v>89</v>
      </c>
      <c r="M54" s="16"/>
      <c r="N54" s="14" t="s">
        <v>43</v>
      </c>
      <c r="O54" s="16"/>
      <c r="P54" s="14" t="s">
        <v>62</v>
      </c>
      <c r="Q54" s="16"/>
      <c r="R54" s="14" t="s">
        <v>43</v>
      </c>
      <c r="S54" s="14" t="s">
        <v>31</v>
      </c>
      <c r="T54" s="14" t="s">
        <v>43</v>
      </c>
      <c r="U54" s="16"/>
      <c r="V54" s="14" t="s">
        <v>31</v>
      </c>
      <c r="W54" s="17"/>
      <c r="X54" s="17"/>
      <c r="Y54" s="17"/>
      <c r="Z54" s="17"/>
    </row>
    <row r="55" spans="1:26" ht="18" customHeight="1" x14ac:dyDescent="0.2">
      <c r="A55" s="12" t="s">
        <v>173</v>
      </c>
      <c r="B55" s="13">
        <v>5</v>
      </c>
      <c r="C55" s="14">
        <v>19</v>
      </c>
      <c r="D55" s="14" t="s">
        <v>174</v>
      </c>
      <c r="E55" s="15" t="e">
        <f t="array" aca="1" ref="E55" ca="1">_xludf.IFS(B55=1,20,B55=2,15,B55=3,10,B55&gt;=4,5)</f>
        <v>#NAME?</v>
      </c>
      <c r="F55" s="16"/>
      <c r="G55" s="16"/>
      <c r="H55" s="14" t="s">
        <v>43</v>
      </c>
      <c r="I55" s="16"/>
      <c r="J55" s="16"/>
      <c r="K55" s="14" t="s">
        <v>94</v>
      </c>
      <c r="L55" s="16"/>
      <c r="M55" s="16"/>
      <c r="N55" s="14" t="s">
        <v>82</v>
      </c>
      <c r="O55" s="16"/>
      <c r="P55" s="14" t="s">
        <v>31</v>
      </c>
      <c r="Q55" s="16"/>
      <c r="R55" s="14" t="s">
        <v>32</v>
      </c>
      <c r="S55" s="14" t="s">
        <v>83</v>
      </c>
      <c r="T55" s="16"/>
      <c r="U55" s="14" t="s">
        <v>43</v>
      </c>
      <c r="V55" s="14" t="s">
        <v>43</v>
      </c>
      <c r="W55" s="17"/>
      <c r="X55" s="17"/>
      <c r="Y55" s="17"/>
      <c r="Z55" s="17"/>
    </row>
    <row r="56" spans="1:26" ht="18" customHeight="1" x14ac:dyDescent="0.2">
      <c r="A56" s="12" t="s">
        <v>175</v>
      </c>
      <c r="B56" s="13">
        <v>5</v>
      </c>
      <c r="C56" s="14">
        <v>29</v>
      </c>
      <c r="D56" s="14" t="s">
        <v>176</v>
      </c>
      <c r="E56" s="15" t="e">
        <f t="array" aca="1" ref="E56" ca="1">_xludf.IFS(B56=1,20,B56=2,15,B56=3,10,B56&gt;=4,5)</f>
        <v>#NAME?</v>
      </c>
      <c r="F56" s="16"/>
      <c r="G56" s="16"/>
      <c r="H56" s="16"/>
      <c r="I56" s="16"/>
      <c r="J56" s="16"/>
      <c r="K56" s="16"/>
      <c r="L56" s="14" t="s">
        <v>43</v>
      </c>
      <c r="M56" s="16"/>
      <c r="N56" s="14" t="s">
        <v>39</v>
      </c>
      <c r="O56" s="16"/>
      <c r="P56" s="14" t="s">
        <v>43</v>
      </c>
      <c r="Q56" s="14" t="s">
        <v>140</v>
      </c>
      <c r="R56" s="14" t="s">
        <v>89</v>
      </c>
      <c r="S56" s="14" t="s">
        <v>38</v>
      </c>
      <c r="T56" s="16"/>
      <c r="U56" s="14" t="s">
        <v>81</v>
      </c>
      <c r="V56" s="14" t="s">
        <v>46</v>
      </c>
      <c r="W56" s="17"/>
      <c r="X56" s="17"/>
      <c r="Y56" s="17"/>
      <c r="Z56" s="17"/>
    </row>
    <row r="57" spans="1:26" ht="18" customHeight="1" x14ac:dyDescent="0.2">
      <c r="A57" s="12" t="s">
        <v>177</v>
      </c>
      <c r="B57" s="13">
        <v>5</v>
      </c>
      <c r="C57" s="14">
        <v>39</v>
      </c>
      <c r="D57" s="14" t="s">
        <v>178</v>
      </c>
      <c r="E57" s="15" t="e">
        <f t="array" aca="1" ref="E57" ca="1">_xludf.IFS(B57=1,20,B57=2,15,B57=3,10,B57&gt;=4,5)</f>
        <v>#NAME?</v>
      </c>
      <c r="F57" s="14" t="s">
        <v>39</v>
      </c>
      <c r="G57" s="16"/>
      <c r="H57" s="16"/>
      <c r="I57" s="16"/>
      <c r="J57" s="16"/>
      <c r="K57" s="16"/>
      <c r="L57" s="16"/>
      <c r="M57" s="14" t="s">
        <v>43</v>
      </c>
      <c r="N57" s="14" t="s">
        <v>43</v>
      </c>
      <c r="O57" s="16"/>
      <c r="P57" s="16"/>
      <c r="Q57" s="14" t="s">
        <v>140</v>
      </c>
      <c r="R57" s="14" t="s">
        <v>89</v>
      </c>
      <c r="S57" s="14" t="s">
        <v>179</v>
      </c>
      <c r="T57" s="16"/>
      <c r="U57" s="16"/>
      <c r="V57" s="16"/>
      <c r="W57" s="17"/>
      <c r="X57" s="17"/>
      <c r="Y57" s="17"/>
      <c r="Z57" s="17"/>
    </row>
    <row r="58" spans="1:26" ht="18" customHeight="1" x14ac:dyDescent="0.2">
      <c r="A58" s="12" t="s">
        <v>180</v>
      </c>
      <c r="B58" s="13">
        <v>5</v>
      </c>
      <c r="C58" s="14">
        <v>67</v>
      </c>
      <c r="D58" s="14" t="s">
        <v>178</v>
      </c>
      <c r="E58" s="15" t="e">
        <f t="array" aca="1" ref="E58" ca="1">_xludf.IFS(B58=1,20,B58=2,15,B58=3,10,B58&gt;=4,5)</f>
        <v>#NAME?</v>
      </c>
      <c r="F58" s="14" t="s">
        <v>69</v>
      </c>
      <c r="G58" s="14" t="s">
        <v>43</v>
      </c>
      <c r="H58" s="16"/>
      <c r="I58" s="16"/>
      <c r="J58" s="16"/>
      <c r="K58" s="14" t="s">
        <v>89</v>
      </c>
      <c r="L58" s="16"/>
      <c r="M58" s="14" t="s">
        <v>43</v>
      </c>
      <c r="N58" s="14" t="s">
        <v>119</v>
      </c>
      <c r="O58" s="16"/>
      <c r="P58" s="14" t="s">
        <v>88</v>
      </c>
      <c r="Q58" s="16"/>
      <c r="R58" s="14" t="s">
        <v>89</v>
      </c>
      <c r="S58" s="14" t="s">
        <v>31</v>
      </c>
      <c r="T58" s="14" t="s">
        <v>89</v>
      </c>
      <c r="U58" s="16"/>
      <c r="V58" s="14" t="s">
        <v>39</v>
      </c>
      <c r="W58" s="17"/>
      <c r="X58" s="17"/>
      <c r="Y58" s="17"/>
      <c r="Z58" s="17"/>
    </row>
    <row r="59" spans="1:26" ht="18" customHeight="1" x14ac:dyDescent="0.2">
      <c r="A59" s="12" t="s">
        <v>181</v>
      </c>
      <c r="B59" s="13">
        <v>5</v>
      </c>
      <c r="C59" s="14">
        <v>50</v>
      </c>
      <c r="D59" s="14" t="s">
        <v>182</v>
      </c>
      <c r="E59" s="15" t="e">
        <f t="array" aca="1" ref="E59" ca="1">_xludf.IFS(B59=1,20,B59=2,15,B59=3,10,B59&gt;=4,5)</f>
        <v>#NAME?</v>
      </c>
      <c r="F59" s="14" t="s">
        <v>111</v>
      </c>
      <c r="G59" s="14" t="s">
        <v>43</v>
      </c>
      <c r="H59" s="14" t="s">
        <v>43</v>
      </c>
      <c r="I59" s="14" t="s">
        <v>43</v>
      </c>
      <c r="J59" s="14" t="s">
        <v>32</v>
      </c>
      <c r="K59" s="14" t="s">
        <v>105</v>
      </c>
      <c r="L59" s="16"/>
      <c r="M59" s="16"/>
      <c r="N59" s="14" t="s">
        <v>81</v>
      </c>
      <c r="O59" s="16"/>
      <c r="P59" s="14">
        <v>50</v>
      </c>
      <c r="Q59" s="16"/>
      <c r="R59" s="14" t="s">
        <v>106</v>
      </c>
      <c r="S59" s="14" t="s">
        <v>58</v>
      </c>
      <c r="T59" s="14" t="s">
        <v>43</v>
      </c>
      <c r="U59" s="16"/>
      <c r="V59" s="14" t="s">
        <v>43</v>
      </c>
      <c r="W59" s="17"/>
      <c r="X59" s="17"/>
      <c r="Y59" s="17"/>
      <c r="Z59" s="17"/>
    </row>
    <row r="60" spans="1:26" ht="18" customHeight="1" x14ac:dyDescent="0.2">
      <c r="A60" s="12" t="s">
        <v>183</v>
      </c>
      <c r="B60" s="13">
        <v>6</v>
      </c>
      <c r="C60" s="14">
        <v>45</v>
      </c>
      <c r="D60" s="14" t="s">
        <v>184</v>
      </c>
      <c r="E60" s="15" t="e">
        <f t="array" aca="1" ref="E60" ca="1">_xludf.IFS(B60=1,20,B60=2,15,B60=3,10,B60&gt;=4,5)</f>
        <v>#NAME?</v>
      </c>
      <c r="F60" s="16"/>
      <c r="G60" s="16"/>
      <c r="H60" s="16"/>
      <c r="I60" s="16"/>
      <c r="J60" s="16"/>
      <c r="K60" s="16"/>
      <c r="L60" s="14">
        <v>5</v>
      </c>
      <c r="M60" s="16"/>
      <c r="N60" s="14">
        <v>58</v>
      </c>
      <c r="O60" s="16"/>
      <c r="P60" s="14" t="s">
        <v>43</v>
      </c>
      <c r="Q60" s="16"/>
      <c r="R60" s="14" t="s">
        <v>77</v>
      </c>
      <c r="S60" s="14" t="s">
        <v>63</v>
      </c>
      <c r="T60" s="14" t="s">
        <v>99</v>
      </c>
      <c r="U60" s="14" t="s">
        <v>94</v>
      </c>
      <c r="V60" s="14" t="s">
        <v>49</v>
      </c>
      <c r="W60" s="17"/>
      <c r="X60" s="17"/>
      <c r="Y60" s="17"/>
      <c r="Z60" s="17"/>
    </row>
    <row r="61" spans="1:26" ht="15.75" customHeight="1" x14ac:dyDescent="0.2">
      <c r="A61" s="12" t="s">
        <v>185</v>
      </c>
      <c r="B61" s="13">
        <v>6</v>
      </c>
      <c r="C61" s="14">
        <v>51</v>
      </c>
      <c r="D61" s="14" t="s">
        <v>186</v>
      </c>
      <c r="E61" s="15" t="e">
        <f t="array" aca="1" ref="E61" ca="1">_xludf.IFS(B61=1,20,B61=2,15,B61=3,10,B61&gt;=4,5)</f>
        <v>#NAME?</v>
      </c>
      <c r="F61" s="16"/>
      <c r="G61" s="14" t="s">
        <v>88</v>
      </c>
      <c r="H61" s="14" t="s">
        <v>187</v>
      </c>
      <c r="I61" s="16"/>
      <c r="J61" s="16"/>
      <c r="K61" s="16"/>
      <c r="L61" s="14" t="s">
        <v>43</v>
      </c>
      <c r="M61" s="16"/>
      <c r="N61" s="14" t="s">
        <v>45</v>
      </c>
      <c r="O61" s="16"/>
      <c r="P61" s="14" t="s">
        <v>31</v>
      </c>
      <c r="Q61" s="16"/>
      <c r="R61" s="14" t="s">
        <v>57</v>
      </c>
      <c r="S61" s="14" t="s">
        <v>31</v>
      </c>
      <c r="T61" s="14" t="s">
        <v>31</v>
      </c>
      <c r="U61" s="16"/>
      <c r="V61" s="16"/>
      <c r="W61" s="17"/>
      <c r="X61" s="17"/>
      <c r="Y61" s="17"/>
      <c r="Z61" s="17"/>
    </row>
    <row r="62" spans="1:26" ht="15.75" customHeight="1" x14ac:dyDescent="0.2">
      <c r="A62" s="12" t="s">
        <v>188</v>
      </c>
      <c r="B62" s="13">
        <v>6</v>
      </c>
      <c r="C62" s="14">
        <v>78</v>
      </c>
      <c r="D62" s="14" t="s">
        <v>186</v>
      </c>
      <c r="E62" s="15" t="e">
        <f t="array" aca="1" ref="E62" ca="1">_xludf.IFS(B62=1,20,B62=2,15,B62=3,10,B62&gt;=4,5)</f>
        <v>#NAME?</v>
      </c>
      <c r="F62" s="14" t="s">
        <v>44</v>
      </c>
      <c r="G62" s="14" t="s">
        <v>43</v>
      </c>
      <c r="H62" s="16"/>
      <c r="I62" s="16"/>
      <c r="J62" s="16"/>
      <c r="K62" s="16"/>
      <c r="L62" s="14" t="s">
        <v>43</v>
      </c>
      <c r="M62" s="14" t="s">
        <v>43</v>
      </c>
      <c r="N62" s="14" t="s">
        <v>119</v>
      </c>
      <c r="O62" s="16"/>
      <c r="P62" s="16"/>
      <c r="Q62" s="16"/>
      <c r="R62" s="14" t="s">
        <v>59</v>
      </c>
      <c r="S62" s="14" t="s">
        <v>102</v>
      </c>
      <c r="T62" s="14" t="s">
        <v>99</v>
      </c>
      <c r="U62" s="14" t="s">
        <v>189</v>
      </c>
      <c r="V62" s="14" t="s">
        <v>78</v>
      </c>
      <c r="W62" s="17"/>
      <c r="X62" s="17"/>
      <c r="Y62" s="17"/>
      <c r="Z62" s="17"/>
    </row>
    <row r="63" spans="1:26" ht="15.75" customHeight="1" x14ac:dyDescent="0.2">
      <c r="A63" s="12" t="s">
        <v>190</v>
      </c>
      <c r="B63" s="13">
        <v>6</v>
      </c>
      <c r="C63" s="14">
        <v>999</v>
      </c>
      <c r="D63" s="14" t="s">
        <v>186</v>
      </c>
      <c r="E63" s="15" t="e">
        <f t="array" aca="1" ref="E63" ca="1">_xludf.IFS(B63=1,20,B63=2,15,B63=3,10,B63&gt;=4,5)</f>
        <v>#NAME?</v>
      </c>
      <c r="F63" s="14" t="s">
        <v>43</v>
      </c>
      <c r="G63" s="14" t="s">
        <v>43</v>
      </c>
      <c r="H63" s="14" t="s">
        <v>43</v>
      </c>
      <c r="I63" s="14" t="s">
        <v>140</v>
      </c>
      <c r="J63" s="14" t="s">
        <v>43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  <c r="X63" s="17"/>
      <c r="Y63" s="17"/>
      <c r="Z63" s="17"/>
    </row>
    <row r="64" spans="1:26" ht="15.75" customHeight="1" x14ac:dyDescent="0.2">
      <c r="A64" s="12" t="s">
        <v>191</v>
      </c>
      <c r="B64" s="13">
        <v>6</v>
      </c>
      <c r="C64" s="14">
        <v>59</v>
      </c>
      <c r="D64" s="14" t="s">
        <v>192</v>
      </c>
      <c r="E64" s="15" t="e">
        <f t="array" aca="1" ref="E64" ca="1">_xludf.IFS(B64=1,20,B64=2,15,B64=3,10,B64&gt;=4,5)</f>
        <v>#NAME?</v>
      </c>
      <c r="F64" s="14" t="s">
        <v>82</v>
      </c>
      <c r="G64" s="16"/>
      <c r="H64" s="16"/>
      <c r="I64" s="16"/>
      <c r="J64" s="16"/>
      <c r="K64" s="16"/>
      <c r="L64" s="14" t="s">
        <v>43</v>
      </c>
      <c r="M64" s="16"/>
      <c r="N64" s="14" t="s">
        <v>43</v>
      </c>
      <c r="O64" s="16"/>
      <c r="P64" s="14" t="s">
        <v>29</v>
      </c>
      <c r="Q64" s="16"/>
      <c r="R64" s="14" t="s">
        <v>31</v>
      </c>
      <c r="S64" s="14" t="s">
        <v>53</v>
      </c>
      <c r="T64" s="14" t="s">
        <v>43</v>
      </c>
      <c r="U64" s="14" t="s">
        <v>43</v>
      </c>
      <c r="V64" s="14" t="s">
        <v>85</v>
      </c>
      <c r="W64" s="17"/>
      <c r="X64" s="17"/>
      <c r="Y64" s="17"/>
      <c r="Z64" s="17"/>
    </row>
    <row r="65" spans="1:26" ht="15.75" customHeight="1" x14ac:dyDescent="0.2">
      <c r="A65" s="12" t="s">
        <v>193</v>
      </c>
      <c r="B65" s="13">
        <v>6</v>
      </c>
      <c r="C65" s="14">
        <v>999</v>
      </c>
      <c r="D65" s="14" t="s">
        <v>194</v>
      </c>
      <c r="E65" s="15" t="e">
        <f t="array" aca="1" ref="E65" ca="1">_xludf.IFS(B65=1,20,B65=2,15,B65=3,10,B65&gt;=4,5)</f>
        <v>#NAME?</v>
      </c>
      <c r="F65" s="14" t="s">
        <v>43</v>
      </c>
      <c r="G65" s="14" t="s">
        <v>43</v>
      </c>
      <c r="H65" s="14" t="s">
        <v>116</v>
      </c>
      <c r="I65" s="14" t="s">
        <v>32</v>
      </c>
      <c r="J65" s="14" t="s">
        <v>43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  <c r="X65" s="17"/>
      <c r="Y65" s="17"/>
      <c r="Z65" s="17"/>
    </row>
    <row r="66" spans="1:26" ht="15.75" customHeight="1" x14ac:dyDescent="0.2">
      <c r="A66" s="12" t="s">
        <v>195</v>
      </c>
      <c r="B66" s="13">
        <v>6</v>
      </c>
      <c r="C66" s="14">
        <v>70</v>
      </c>
      <c r="D66" s="14" t="s">
        <v>196</v>
      </c>
      <c r="E66" s="15" t="e">
        <f t="array" aca="1" ref="E66" ca="1">_xludf.IFS(B66=1,20,B66=2,15,B66=3,10,B66&gt;=4,5)</f>
        <v>#NAME?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/>
      <c r="X66" s="17"/>
      <c r="Y66" s="17"/>
      <c r="Z66" s="17"/>
    </row>
    <row r="67" spans="1:26" ht="15.75" customHeight="1" x14ac:dyDescent="0.2">
      <c r="A67" s="12" t="s">
        <v>197</v>
      </c>
      <c r="B67" s="13">
        <v>6</v>
      </c>
      <c r="C67" s="14">
        <v>161</v>
      </c>
      <c r="D67" s="14" t="s">
        <v>198</v>
      </c>
      <c r="E67" s="15" t="e">
        <f t="array" aca="1" ref="E67" ca="1">_xludf.IFS(B67=1,20,B67=2,15,B67=3,10,B67&gt;=4,5)</f>
        <v>#NAME?</v>
      </c>
      <c r="F67" s="16"/>
      <c r="G67" s="16"/>
      <c r="H67" s="16"/>
      <c r="I67" s="16"/>
      <c r="J67" s="14" t="s">
        <v>43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/>
      <c r="X67" s="17"/>
      <c r="Y67" s="17"/>
      <c r="Z67" s="17"/>
    </row>
    <row r="68" spans="1:26" ht="15.75" customHeight="1" x14ac:dyDescent="0.2">
      <c r="A68" s="12" t="s">
        <v>199</v>
      </c>
      <c r="B68" s="13">
        <v>6</v>
      </c>
      <c r="C68" s="14">
        <v>84</v>
      </c>
      <c r="D68" s="14" t="s">
        <v>200</v>
      </c>
      <c r="E68" s="15" t="e">
        <f t="array" aca="1" ref="E68" ca="1">_xludf.IFS(B68=1,20,B68=2,15,B68=3,10,B68&gt;=4,5)</f>
        <v>#NAME?</v>
      </c>
      <c r="F68" s="16"/>
      <c r="G68" s="16"/>
      <c r="H68" s="16"/>
      <c r="I68" s="16"/>
      <c r="J68" s="16"/>
      <c r="K68" s="14" t="s">
        <v>43</v>
      </c>
      <c r="L68" s="14" t="s">
        <v>43</v>
      </c>
      <c r="M68" s="16"/>
      <c r="N68" s="14" t="s">
        <v>43</v>
      </c>
      <c r="O68" s="16"/>
      <c r="P68" s="14" t="s">
        <v>43</v>
      </c>
      <c r="Q68" s="14" t="s">
        <v>82</v>
      </c>
      <c r="R68" s="16"/>
      <c r="S68" s="16"/>
      <c r="T68" s="14" t="s">
        <v>43</v>
      </c>
      <c r="U68" s="14" t="s">
        <v>81</v>
      </c>
      <c r="V68" s="14" t="s">
        <v>56</v>
      </c>
      <c r="W68" s="17"/>
      <c r="X68" s="17"/>
      <c r="Y68" s="17"/>
      <c r="Z68" s="17"/>
    </row>
    <row r="69" spans="1:26" ht="15.75" customHeight="1" x14ac:dyDescent="0.2">
      <c r="A69" s="12" t="s">
        <v>201</v>
      </c>
      <c r="B69" s="13">
        <v>6</v>
      </c>
      <c r="C69" s="14">
        <v>105</v>
      </c>
      <c r="D69" s="14" t="s">
        <v>200</v>
      </c>
      <c r="E69" s="15" t="e">
        <f t="array" aca="1" ref="E69" ca="1">_xludf.IFS(B69=1,20,B69=2,15,B69=3,10,B69&gt;=4,5)</f>
        <v>#NAME?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  <c r="X69" s="17"/>
      <c r="Y69" s="17"/>
      <c r="Z69" s="17"/>
    </row>
    <row r="70" spans="1:26" ht="15.75" customHeight="1" x14ac:dyDescent="0.2">
      <c r="A70" s="12" t="s">
        <v>202</v>
      </c>
      <c r="B70" s="13">
        <v>6</v>
      </c>
      <c r="C70" s="14">
        <v>40</v>
      </c>
      <c r="D70" s="14" t="s">
        <v>203</v>
      </c>
      <c r="E70" s="15" t="e">
        <f t="array" aca="1" ref="E70" ca="1">_xludf.IFS(B70=1,20,B70=2,15,B70=3,10,B70&gt;=4,5)</f>
        <v>#NAME?</v>
      </c>
      <c r="F70" s="14">
        <v>51</v>
      </c>
      <c r="G70" s="16"/>
      <c r="H70" s="16"/>
      <c r="I70" s="16"/>
      <c r="J70" s="16"/>
      <c r="K70" s="16"/>
      <c r="L70" s="14" t="s">
        <v>43</v>
      </c>
      <c r="M70" s="16"/>
      <c r="N70" s="14" t="s">
        <v>156</v>
      </c>
      <c r="O70" s="16"/>
      <c r="P70" s="14" t="s">
        <v>167</v>
      </c>
      <c r="Q70" s="14">
        <v>1</v>
      </c>
      <c r="R70" s="14" t="s">
        <v>43</v>
      </c>
      <c r="S70" s="14" t="s">
        <v>56</v>
      </c>
      <c r="T70" s="14" t="s">
        <v>43</v>
      </c>
      <c r="U70" s="16"/>
      <c r="V70" s="14" t="s">
        <v>43</v>
      </c>
      <c r="W70" s="17"/>
      <c r="X70" s="17"/>
      <c r="Y70" s="17"/>
      <c r="Z70" s="17"/>
    </row>
    <row r="71" spans="1:26" ht="15.75" customHeight="1" x14ac:dyDescent="0.2">
      <c r="A71" s="12" t="s">
        <v>204</v>
      </c>
      <c r="B71" s="13">
        <v>6</v>
      </c>
      <c r="C71" s="14">
        <v>46</v>
      </c>
      <c r="D71" s="14" t="s">
        <v>203</v>
      </c>
      <c r="E71" s="15" t="e">
        <f t="array" aca="1" ref="E71" ca="1">_xludf.IFS(B71=1,20,B71=2,15,B71=3,10,B71&gt;=4,5)</f>
        <v>#NAME?</v>
      </c>
      <c r="F71" s="16"/>
      <c r="G71" s="16"/>
      <c r="H71" s="16"/>
      <c r="I71" s="16"/>
      <c r="J71" s="16"/>
      <c r="K71" s="14" t="s">
        <v>28</v>
      </c>
      <c r="L71" s="14" t="s">
        <v>43</v>
      </c>
      <c r="M71" s="14" t="s">
        <v>43</v>
      </c>
      <c r="N71" s="14" t="s">
        <v>156</v>
      </c>
      <c r="O71" s="16"/>
      <c r="P71" s="16"/>
      <c r="Q71" s="14" t="s">
        <v>205</v>
      </c>
      <c r="R71" s="16"/>
      <c r="S71" s="16"/>
      <c r="T71" s="14" t="s">
        <v>59</v>
      </c>
      <c r="U71" s="14" t="s">
        <v>94</v>
      </c>
      <c r="V71" s="16"/>
      <c r="W71" s="17"/>
      <c r="X71" s="17"/>
      <c r="Y71" s="17"/>
      <c r="Z71" s="17"/>
    </row>
    <row r="72" spans="1:26" ht="15.75" customHeight="1" x14ac:dyDescent="0.2">
      <c r="A72" s="12" t="s">
        <v>206</v>
      </c>
      <c r="B72" s="13">
        <v>6</v>
      </c>
      <c r="C72" s="14">
        <v>69</v>
      </c>
      <c r="D72" s="14" t="s">
        <v>207</v>
      </c>
      <c r="E72" s="15" t="e">
        <f t="array" aca="1" ref="E72" ca="1">_xludf.IFS(B72=1,20,B72=2,15,B72=3,10,B72&gt;=4,5)</f>
        <v>#NAME?</v>
      </c>
      <c r="F72" s="16"/>
      <c r="G72" s="16"/>
      <c r="H72" s="16"/>
      <c r="I72" s="16"/>
      <c r="J72" s="16"/>
      <c r="K72" s="16"/>
      <c r="L72" s="14" t="s">
        <v>43</v>
      </c>
      <c r="M72" s="14" t="s">
        <v>63</v>
      </c>
      <c r="N72" s="16"/>
      <c r="O72" s="14">
        <v>68</v>
      </c>
      <c r="P72" s="16"/>
      <c r="Q72" s="14" t="s">
        <v>69</v>
      </c>
      <c r="R72" s="16"/>
      <c r="S72" s="16"/>
      <c r="T72" s="14" t="s">
        <v>59</v>
      </c>
      <c r="U72" s="14" t="s">
        <v>208</v>
      </c>
      <c r="V72" s="16"/>
      <c r="W72" s="17"/>
      <c r="X72" s="17"/>
      <c r="Y72" s="17"/>
      <c r="Z72" s="17"/>
    </row>
    <row r="73" spans="1:26" ht="15.75" customHeight="1" x14ac:dyDescent="0.2">
      <c r="A73" s="12" t="s">
        <v>209</v>
      </c>
      <c r="B73" s="13">
        <v>6</v>
      </c>
      <c r="C73" s="14">
        <v>64</v>
      </c>
      <c r="D73" s="14" t="s">
        <v>210</v>
      </c>
      <c r="E73" s="15" t="e">
        <f t="array" aca="1" ref="E73" ca="1">_xludf.IFS(B73=1,20,B73=2,15,B73=3,10,B73&gt;=4,5)</f>
        <v>#NAME?</v>
      </c>
      <c r="F73" s="16"/>
      <c r="G73" s="16"/>
      <c r="H73" s="16"/>
      <c r="I73" s="16"/>
      <c r="J73" s="16"/>
      <c r="K73" s="14" t="s">
        <v>43</v>
      </c>
      <c r="L73" s="14" t="s">
        <v>34</v>
      </c>
      <c r="M73" s="14" t="s">
        <v>43</v>
      </c>
      <c r="N73" s="14" t="s">
        <v>43</v>
      </c>
      <c r="O73" s="16"/>
      <c r="P73" s="16"/>
      <c r="Q73" s="14" t="s">
        <v>43</v>
      </c>
      <c r="R73" s="16"/>
      <c r="S73" s="16"/>
      <c r="T73" s="14" t="s">
        <v>59</v>
      </c>
      <c r="U73" s="14" t="s">
        <v>129</v>
      </c>
      <c r="V73" s="14" t="s">
        <v>39</v>
      </c>
      <c r="W73" s="17"/>
      <c r="X73" s="17"/>
      <c r="Y73" s="17"/>
      <c r="Z73" s="17"/>
    </row>
    <row r="74" spans="1:26" ht="15.75" customHeight="1" x14ac:dyDescent="0.2">
      <c r="A74" s="12" t="s">
        <v>211</v>
      </c>
      <c r="B74" s="13">
        <v>6</v>
      </c>
      <c r="C74" s="14">
        <v>43</v>
      </c>
      <c r="D74" s="14" t="s">
        <v>212</v>
      </c>
      <c r="E74" s="15" t="e">
        <f t="array" aca="1" ref="E74" ca="1">_xludf.IFS(B74=1,20,B74=2,15,B74=3,10,B74&gt;=4,5)</f>
        <v>#NAME?</v>
      </c>
      <c r="F74" s="14" t="s">
        <v>39</v>
      </c>
      <c r="G74" s="16"/>
      <c r="H74" s="16"/>
      <c r="I74" s="16"/>
      <c r="J74" s="16"/>
      <c r="K74" s="14" t="s">
        <v>46</v>
      </c>
      <c r="L74" s="16"/>
      <c r="M74" s="14" t="s">
        <v>94</v>
      </c>
      <c r="N74" s="14" t="s">
        <v>43</v>
      </c>
      <c r="O74" s="16"/>
      <c r="P74" s="14" t="s">
        <v>134</v>
      </c>
      <c r="Q74" s="16"/>
      <c r="R74" s="14" t="s">
        <v>43</v>
      </c>
      <c r="S74" s="14">
        <v>72</v>
      </c>
      <c r="T74" s="14" t="s">
        <v>29</v>
      </c>
      <c r="U74" s="16"/>
      <c r="V74" s="14" t="s">
        <v>43</v>
      </c>
      <c r="W74" s="17"/>
      <c r="X74" s="17"/>
      <c r="Y74" s="17"/>
      <c r="Z74" s="17"/>
    </row>
    <row r="75" spans="1:26" ht="15.75" customHeight="1" x14ac:dyDescent="0.2">
      <c r="A75" s="12" t="s">
        <v>213</v>
      </c>
      <c r="B75" s="13">
        <v>6</v>
      </c>
      <c r="C75" s="14">
        <v>48</v>
      </c>
      <c r="D75" s="14" t="s">
        <v>214</v>
      </c>
      <c r="E75" s="15" t="e">
        <f t="array" aca="1" ref="E75" ca="1">_xludf.IFS(B75=1,20,B75=2,15,B75=3,10,B75&gt;=4,5)</f>
        <v>#NAME?</v>
      </c>
      <c r="F75" s="16"/>
      <c r="G75" s="16"/>
      <c r="H75" s="16"/>
      <c r="I75" s="16"/>
      <c r="J75" s="16"/>
      <c r="K75" s="14" t="s">
        <v>37</v>
      </c>
      <c r="L75" s="16"/>
      <c r="M75" s="14" t="s">
        <v>63</v>
      </c>
      <c r="N75" s="14" t="s">
        <v>43</v>
      </c>
      <c r="O75" s="16"/>
      <c r="P75" s="14" t="s">
        <v>88</v>
      </c>
      <c r="Q75" s="16"/>
      <c r="R75" s="14" t="s">
        <v>215</v>
      </c>
      <c r="S75" s="14" t="s">
        <v>116</v>
      </c>
      <c r="T75" s="14" t="s">
        <v>43</v>
      </c>
      <c r="U75" s="14" t="s">
        <v>57</v>
      </c>
      <c r="V75" s="14" t="s">
        <v>43</v>
      </c>
      <c r="W75" s="17"/>
      <c r="X75" s="17"/>
      <c r="Y75" s="17"/>
      <c r="Z75" s="17"/>
    </row>
    <row r="76" spans="1:26" ht="15.75" customHeight="1" x14ac:dyDescent="0.2">
      <c r="A76" s="12" t="s">
        <v>216</v>
      </c>
      <c r="B76" s="13">
        <v>6</v>
      </c>
      <c r="C76" s="14">
        <v>77</v>
      </c>
      <c r="D76" s="14" t="s">
        <v>217</v>
      </c>
      <c r="E76" s="15" t="e">
        <f t="array" aca="1" ref="E76" ca="1">_xludf.IFS(B76=1,20,B76=2,15,B76=3,10,B76&gt;=4,5)</f>
        <v>#NAME?</v>
      </c>
      <c r="F76" s="16"/>
      <c r="G76" s="16"/>
      <c r="H76" s="14" t="s">
        <v>43</v>
      </c>
      <c r="I76" s="16"/>
      <c r="J76" s="16"/>
      <c r="K76" s="16"/>
      <c r="L76" s="14" t="s">
        <v>66</v>
      </c>
      <c r="M76" s="16"/>
      <c r="N76" s="14" t="s">
        <v>43</v>
      </c>
      <c r="O76" s="16"/>
      <c r="P76" s="14" t="s">
        <v>43</v>
      </c>
      <c r="Q76" s="16"/>
      <c r="R76" s="14">
        <v>5</v>
      </c>
      <c r="S76" s="14" t="s">
        <v>142</v>
      </c>
      <c r="T76" s="14" t="s">
        <v>43</v>
      </c>
      <c r="U76" s="14" t="s">
        <v>43</v>
      </c>
      <c r="V76" s="14" t="s">
        <v>43</v>
      </c>
      <c r="W76" s="17"/>
      <c r="X76" s="17"/>
      <c r="Y76" s="17"/>
      <c r="Z76" s="17"/>
    </row>
    <row r="77" spans="1:26" ht="15.75" customHeight="1" x14ac:dyDescent="0.2">
      <c r="A77" s="12" t="s">
        <v>218</v>
      </c>
      <c r="B77" s="13">
        <v>6</v>
      </c>
      <c r="C77" s="14">
        <v>47</v>
      </c>
      <c r="D77" s="14" t="s">
        <v>219</v>
      </c>
      <c r="E77" s="15" t="e">
        <f t="array" aca="1" ref="E77" ca="1">_xludf.IFS(B77=1,20,B77=2,15,B77=3,10,B77&gt;=4,5)</f>
        <v>#NAME?</v>
      </c>
      <c r="F77" s="16"/>
      <c r="G77" s="16"/>
      <c r="H77" s="16"/>
      <c r="I77" s="16"/>
      <c r="J77" s="16"/>
      <c r="K77" s="16"/>
      <c r="L77" s="14" t="s">
        <v>89</v>
      </c>
      <c r="M77" s="14" t="s">
        <v>43</v>
      </c>
      <c r="N77" s="14">
        <v>69</v>
      </c>
      <c r="O77" s="14" t="s">
        <v>187</v>
      </c>
      <c r="P77" s="16"/>
      <c r="Q77" s="14" t="s">
        <v>220</v>
      </c>
      <c r="R77" s="16"/>
      <c r="S77" s="16"/>
      <c r="T77" s="14" t="s">
        <v>116</v>
      </c>
      <c r="U77" s="14" t="s">
        <v>221</v>
      </c>
      <c r="V77" s="14" t="s">
        <v>85</v>
      </c>
      <c r="W77" s="17"/>
      <c r="X77" s="17"/>
      <c r="Y77" s="17"/>
      <c r="Z77" s="17"/>
    </row>
    <row r="78" spans="1:26" ht="15.75" customHeight="1" x14ac:dyDescent="0.2">
      <c r="A78" s="12" t="s">
        <v>222</v>
      </c>
      <c r="B78" s="13">
        <v>6</v>
      </c>
      <c r="C78" s="14">
        <v>56</v>
      </c>
      <c r="D78" s="14" t="s">
        <v>223</v>
      </c>
      <c r="E78" s="15" t="e">
        <f t="array" aca="1" ref="E78" ca="1">_xludf.IFS(B78=1,20,B78=2,15,B78=3,10,B78&gt;=4,5)</f>
        <v>#NAME?</v>
      </c>
      <c r="F78" s="16"/>
      <c r="G78" s="16"/>
      <c r="H78" s="16"/>
      <c r="I78" s="16"/>
      <c r="J78" s="16"/>
      <c r="K78" s="14" t="s">
        <v>37</v>
      </c>
      <c r="L78" s="16"/>
      <c r="M78" s="16"/>
      <c r="N78" s="14" t="s">
        <v>43</v>
      </c>
      <c r="O78" s="16"/>
      <c r="P78" s="16"/>
      <c r="Q78" s="14" t="s">
        <v>43</v>
      </c>
      <c r="R78" s="14" t="s">
        <v>53</v>
      </c>
      <c r="S78" s="14" t="s">
        <v>70</v>
      </c>
      <c r="T78" s="14" t="s">
        <v>59</v>
      </c>
      <c r="U78" s="14" t="s">
        <v>43</v>
      </c>
      <c r="V78" s="14" t="s">
        <v>43</v>
      </c>
      <c r="W78" s="17"/>
      <c r="X78" s="17"/>
      <c r="Y78" s="17"/>
      <c r="Z78" s="17"/>
    </row>
    <row r="79" spans="1:26" ht="15.75" customHeight="1" x14ac:dyDescent="0.2">
      <c r="A79" s="12" t="s">
        <v>224</v>
      </c>
      <c r="B79" s="13">
        <v>6</v>
      </c>
      <c r="C79" s="14">
        <v>120</v>
      </c>
      <c r="D79" s="14" t="s">
        <v>225</v>
      </c>
      <c r="E79" s="15" t="e">
        <f t="array" aca="1" ref="E79" ca="1">_xludf.IFS(B79=1,20,B79=2,15,B79=3,10,B79&gt;=4,5)</f>
        <v>#NAME?</v>
      </c>
      <c r="F79" s="14" t="s">
        <v>66</v>
      </c>
      <c r="G79" s="16"/>
      <c r="H79" s="16"/>
      <c r="I79" s="16"/>
      <c r="J79" s="16"/>
      <c r="K79" s="16"/>
      <c r="L79" s="14" t="s">
        <v>142</v>
      </c>
      <c r="M79" s="14" t="s">
        <v>43</v>
      </c>
      <c r="N79" s="14" t="s">
        <v>43</v>
      </c>
      <c r="O79" s="14" t="s">
        <v>119</v>
      </c>
      <c r="P79" s="16"/>
      <c r="Q79" s="14" t="s">
        <v>43</v>
      </c>
      <c r="R79" s="16"/>
      <c r="S79" s="16"/>
      <c r="T79" s="14" t="s">
        <v>43</v>
      </c>
      <c r="U79" s="14" t="s">
        <v>43</v>
      </c>
      <c r="V79" s="14" t="s">
        <v>85</v>
      </c>
      <c r="W79" s="17"/>
      <c r="X79" s="17"/>
      <c r="Y79" s="17"/>
      <c r="Z79" s="17"/>
    </row>
    <row r="80" spans="1:26" ht="15.75" customHeight="1" x14ac:dyDescent="0.2">
      <c r="A80" s="12" t="s">
        <v>226</v>
      </c>
      <c r="B80" s="13">
        <v>6</v>
      </c>
      <c r="C80" s="14">
        <v>999</v>
      </c>
      <c r="D80" s="14" t="s">
        <v>225</v>
      </c>
      <c r="E80" s="15" t="e">
        <f t="array" aca="1" ref="E80" ca="1">_xludf.IFS(B80=1,20,B80=2,15,B80=3,10,B80&gt;=4,5)</f>
        <v>#NAME?</v>
      </c>
      <c r="F80" s="14" t="s">
        <v>37</v>
      </c>
      <c r="G80" s="14" t="s">
        <v>43</v>
      </c>
      <c r="H80" s="14" t="s">
        <v>43</v>
      </c>
      <c r="I80" s="14" t="s">
        <v>105</v>
      </c>
      <c r="J80" s="14" t="s">
        <v>187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7"/>
      <c r="X80" s="17"/>
      <c r="Y80" s="17"/>
      <c r="Z80" s="17"/>
    </row>
    <row r="81" spans="1:26" ht="15.75" customHeight="1" x14ac:dyDescent="0.2">
      <c r="A81" s="12" t="s">
        <v>227</v>
      </c>
      <c r="B81" s="13">
        <v>6</v>
      </c>
      <c r="C81" s="14">
        <v>999</v>
      </c>
      <c r="D81" s="14" t="s">
        <v>225</v>
      </c>
      <c r="E81" s="15" t="e">
        <f t="array" aca="1" ref="E81" ca="1">_xludf.IFS(B81=1,20,B81=2,15,B81=3,10,B81&gt;=4,5)</f>
        <v>#NAME?</v>
      </c>
      <c r="F81" s="14" t="s">
        <v>111</v>
      </c>
      <c r="G81" s="14" t="s">
        <v>43</v>
      </c>
      <c r="H81" s="14" t="s">
        <v>106</v>
      </c>
      <c r="I81" s="14" t="s">
        <v>28</v>
      </c>
      <c r="J81" s="14" t="s">
        <v>187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7"/>
      <c r="X81" s="17"/>
      <c r="Y81" s="17"/>
      <c r="Z81" s="17"/>
    </row>
    <row r="82" spans="1:26" ht="15.75" customHeight="1" x14ac:dyDescent="0.2">
      <c r="A82" s="12" t="s">
        <v>228</v>
      </c>
      <c r="B82" s="13">
        <v>6</v>
      </c>
      <c r="C82" s="14">
        <v>999</v>
      </c>
      <c r="D82" s="14" t="s">
        <v>225</v>
      </c>
      <c r="E82" s="15" t="e">
        <f t="array" aca="1" ref="E82" ca="1">_xludf.IFS(B82=1,20,B82=2,15,B82=3,10,B82&gt;=4,5)</f>
        <v>#NAME?</v>
      </c>
      <c r="F82" s="14" t="s">
        <v>56</v>
      </c>
      <c r="G82" s="14" t="s">
        <v>43</v>
      </c>
      <c r="H82" s="14" t="s">
        <v>70</v>
      </c>
      <c r="I82" s="14" t="s">
        <v>43</v>
      </c>
      <c r="J82" s="14" t="s">
        <v>43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4" t="s">
        <v>135</v>
      </c>
      <c r="W82" s="17"/>
      <c r="X82" s="17"/>
      <c r="Y82" s="17"/>
      <c r="Z82" s="17"/>
    </row>
    <row r="83" spans="1:26" ht="15.75" customHeight="1" x14ac:dyDescent="0.2">
      <c r="A83" s="12" t="s">
        <v>229</v>
      </c>
      <c r="B83" s="13">
        <v>7</v>
      </c>
      <c r="C83" s="14">
        <v>112</v>
      </c>
      <c r="D83" s="14" t="s">
        <v>230</v>
      </c>
      <c r="E83" s="15" t="e">
        <f t="array" aca="1" ref="E83" ca="1">_xludf.IFS(B83=1,20,B83=2,15,B83=3,10,B83&gt;=4,5)</f>
        <v>#NAME?</v>
      </c>
      <c r="F83" s="14" t="s">
        <v>82</v>
      </c>
      <c r="G83" s="16"/>
      <c r="H83" s="16"/>
      <c r="I83" s="16"/>
      <c r="J83" s="16"/>
      <c r="K83" s="16"/>
      <c r="L83" s="14" t="s">
        <v>43</v>
      </c>
      <c r="M83" s="14" t="s">
        <v>45</v>
      </c>
      <c r="N83" s="14" t="s">
        <v>43</v>
      </c>
      <c r="O83" s="16"/>
      <c r="P83" s="14" t="s">
        <v>43</v>
      </c>
      <c r="Q83" s="16"/>
      <c r="R83" s="14" t="s">
        <v>43</v>
      </c>
      <c r="S83" s="14" t="s">
        <v>231</v>
      </c>
      <c r="T83" s="14" t="s">
        <v>74</v>
      </c>
      <c r="U83" s="16"/>
      <c r="V83" s="14" t="s">
        <v>43</v>
      </c>
      <c r="W83" s="17"/>
      <c r="X83" s="17"/>
      <c r="Y83" s="17"/>
      <c r="Z83" s="17"/>
    </row>
    <row r="84" spans="1:26" ht="15.75" customHeight="1" x14ac:dyDescent="0.2">
      <c r="A84" s="12" t="s">
        <v>232</v>
      </c>
      <c r="B84" s="13">
        <v>7</v>
      </c>
      <c r="C84" s="14">
        <v>999</v>
      </c>
      <c r="D84" s="14" t="s">
        <v>230</v>
      </c>
      <c r="E84" s="15" t="e">
        <f t="array" aca="1" ref="E84" ca="1">_xludf.IFS(B84=1,20,B84=2,15,B84=3,10,B84&gt;=4,5)</f>
        <v>#NAME?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7"/>
      <c r="X84" s="17"/>
      <c r="Y84" s="17"/>
      <c r="Z84" s="17"/>
    </row>
    <row r="85" spans="1:26" ht="15.75" customHeight="1" x14ac:dyDescent="0.2">
      <c r="A85" s="12" t="s">
        <v>233</v>
      </c>
      <c r="B85" s="13">
        <v>7</v>
      </c>
      <c r="C85" s="14">
        <v>999</v>
      </c>
      <c r="D85" s="14" t="s">
        <v>230</v>
      </c>
      <c r="E85" s="15" t="e">
        <f t="array" aca="1" ref="E85" ca="1">_xludf.IFS(B85=1,20,B85=2,15,B85=3,10,B85&gt;=4,5)</f>
        <v>#NAME?</v>
      </c>
      <c r="F85" s="14" t="s">
        <v>119</v>
      </c>
      <c r="G85" s="14" t="s">
        <v>38</v>
      </c>
      <c r="H85" s="14" t="s">
        <v>43</v>
      </c>
      <c r="I85" s="14" t="s">
        <v>32</v>
      </c>
      <c r="J85" s="14" t="s">
        <v>43</v>
      </c>
      <c r="K85" s="16"/>
      <c r="L85" s="14" t="s">
        <v>85</v>
      </c>
      <c r="M85" s="14" t="s">
        <v>43</v>
      </c>
      <c r="N85" s="16"/>
      <c r="O85" s="14" t="s">
        <v>119</v>
      </c>
      <c r="P85" s="16"/>
      <c r="Q85" s="14" t="s">
        <v>43</v>
      </c>
      <c r="R85" s="16"/>
      <c r="S85" s="16"/>
      <c r="T85" s="16"/>
      <c r="U85" s="16"/>
      <c r="V85" s="16"/>
      <c r="W85" s="17"/>
      <c r="X85" s="17"/>
      <c r="Y85" s="17"/>
      <c r="Z85" s="17"/>
    </row>
    <row r="86" spans="1:26" ht="15.75" customHeight="1" x14ac:dyDescent="0.2">
      <c r="A86" s="12" t="s">
        <v>234</v>
      </c>
      <c r="B86" s="13">
        <v>7</v>
      </c>
      <c r="C86" s="14">
        <v>999</v>
      </c>
      <c r="D86" s="14" t="s">
        <v>235</v>
      </c>
      <c r="E86" s="15" t="e">
        <f t="array" aca="1" ref="E86" ca="1">_xludf.IFS(B86=1,20,B86=2,15,B86=3,10,B86&gt;=4,5)</f>
        <v>#NAME?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7"/>
      <c r="X86" s="17"/>
      <c r="Y86" s="17"/>
      <c r="Z86" s="17"/>
    </row>
    <row r="87" spans="1:26" ht="15.75" customHeight="1" x14ac:dyDescent="0.2">
      <c r="A87" s="12" t="s">
        <v>236</v>
      </c>
      <c r="B87" s="13">
        <v>7</v>
      </c>
      <c r="C87" s="14">
        <v>999</v>
      </c>
      <c r="D87" s="14" t="s">
        <v>237</v>
      </c>
      <c r="E87" s="15" t="e">
        <f t="array" aca="1" ref="E87" ca="1">_xludf.IFS(B87=1,20,B87=2,15,B87=3,10,B87&gt;=4,5)</f>
        <v>#NAME?</v>
      </c>
      <c r="F87" s="16"/>
      <c r="G87" s="16"/>
      <c r="H87" s="16"/>
      <c r="I87" s="16"/>
      <c r="J87" s="16"/>
      <c r="K87" s="16"/>
      <c r="L87" s="14" t="s">
        <v>43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7"/>
      <c r="X87" s="17"/>
      <c r="Y87" s="17"/>
      <c r="Z87" s="17"/>
    </row>
    <row r="88" spans="1:26" ht="15.75" customHeight="1" x14ac:dyDescent="0.2">
      <c r="A88" s="12" t="s">
        <v>238</v>
      </c>
      <c r="B88" s="13">
        <v>7</v>
      </c>
      <c r="C88" s="14">
        <v>999</v>
      </c>
      <c r="D88" s="14" t="s">
        <v>237</v>
      </c>
      <c r="E88" s="15" t="e">
        <f t="array" aca="1" ref="E88" ca="1">_xludf.IFS(B88=1,20,B88=2,15,B88=3,10,B88&gt;=4,5)</f>
        <v>#NAME?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7"/>
      <c r="X88" s="17"/>
      <c r="Y88" s="17"/>
      <c r="Z88" s="17"/>
    </row>
    <row r="89" spans="1:26" ht="15.75" customHeight="1" x14ac:dyDescent="0.2">
      <c r="A89" s="12" t="s">
        <v>239</v>
      </c>
      <c r="B89" s="13">
        <v>7</v>
      </c>
      <c r="C89" s="14">
        <v>999</v>
      </c>
      <c r="D89" s="14" t="s">
        <v>237</v>
      </c>
      <c r="E89" s="15" t="e">
        <f t="array" aca="1" ref="E89" ca="1">_xludf.IFS(B89=1,20,B89=2,15,B89=3,10,B89&gt;=4,5)</f>
        <v>#NAME?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7"/>
      <c r="X89" s="17"/>
      <c r="Y89" s="17"/>
      <c r="Z89" s="17"/>
    </row>
    <row r="90" spans="1:26" ht="15.75" customHeight="1" x14ac:dyDescent="0.2">
      <c r="A90" s="12" t="s">
        <v>240</v>
      </c>
      <c r="B90" s="13">
        <v>7</v>
      </c>
      <c r="C90" s="14">
        <v>999</v>
      </c>
      <c r="D90" s="14" t="s">
        <v>237</v>
      </c>
      <c r="E90" s="15" t="e">
        <f t="array" aca="1" ref="E90" ca="1">_xludf.IFS(B90=1,20,B90=2,15,B90=3,10,B90&gt;=4,5)</f>
        <v>#NAME?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7"/>
      <c r="X90" s="17"/>
      <c r="Y90" s="17"/>
      <c r="Z90" s="17"/>
    </row>
    <row r="91" spans="1:26" ht="15.75" customHeight="1" x14ac:dyDescent="0.2">
      <c r="A91" s="12" t="s">
        <v>241</v>
      </c>
      <c r="B91" s="13">
        <v>7</v>
      </c>
      <c r="C91" s="14">
        <v>999</v>
      </c>
      <c r="D91" s="14" t="s">
        <v>237</v>
      </c>
      <c r="E91" s="15" t="e">
        <f t="array" aca="1" ref="E91" ca="1">_xludf.IFS(B91=1,20,B91=2,15,B91=3,10,B91&gt;=4,5)</f>
        <v>#NAME?</v>
      </c>
      <c r="F91" s="14" t="s">
        <v>43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7"/>
      <c r="X91" s="17"/>
      <c r="Y91" s="17"/>
      <c r="Z91" s="17"/>
    </row>
    <row r="92" spans="1:26" ht="15.75" customHeight="1" x14ac:dyDescent="0.2">
      <c r="A92" s="12" t="s">
        <v>242</v>
      </c>
      <c r="B92" s="13">
        <v>7</v>
      </c>
      <c r="C92" s="14">
        <v>999</v>
      </c>
      <c r="D92" s="14" t="s">
        <v>237</v>
      </c>
      <c r="E92" s="15" t="e">
        <f t="array" aca="1" ref="E92" ca="1">_xludf.IFS(B92=1,20,B92=2,15,B92=3,10,B92&gt;=4,5)</f>
        <v>#NAME?</v>
      </c>
      <c r="F92" s="16"/>
      <c r="G92" s="14" t="s">
        <v>102</v>
      </c>
      <c r="H92" s="14" t="s">
        <v>43</v>
      </c>
      <c r="I92" s="14" t="s">
        <v>43</v>
      </c>
      <c r="J92" s="14" t="s">
        <v>43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7"/>
      <c r="X92" s="17"/>
      <c r="Y92" s="17"/>
      <c r="Z92" s="17"/>
    </row>
    <row r="93" spans="1:26" ht="15.75" customHeight="1" x14ac:dyDescent="0.2">
      <c r="A93" s="12" t="s">
        <v>243</v>
      </c>
      <c r="B93" s="13">
        <v>7</v>
      </c>
      <c r="C93" s="14">
        <v>999</v>
      </c>
      <c r="D93" s="14" t="s">
        <v>244</v>
      </c>
      <c r="E93" s="15" t="e">
        <f t="array" aca="1" ref="E93" ca="1">_xludf.IFS(B93=1,20,B93=2,15,B93=3,10,B93&gt;=4,5)</f>
        <v>#NAME?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7"/>
      <c r="X93" s="17"/>
      <c r="Y93" s="17"/>
      <c r="Z93" s="17"/>
    </row>
    <row r="94" spans="1:26" ht="15.75" customHeight="1" x14ac:dyDescent="0.2">
      <c r="A94" s="12" t="s">
        <v>245</v>
      </c>
      <c r="B94" s="13">
        <v>7</v>
      </c>
      <c r="C94" s="14">
        <v>999</v>
      </c>
      <c r="D94" s="14" t="s">
        <v>244</v>
      </c>
      <c r="E94" s="15" t="e">
        <f t="array" aca="1" ref="E94" ca="1">_xludf.IFS(B94=1,20,B94=2,15,B94=3,10,B94&gt;=4,5)</f>
        <v>#NAME?</v>
      </c>
      <c r="F94" s="14" t="s">
        <v>43</v>
      </c>
      <c r="G94" s="14" t="s">
        <v>43</v>
      </c>
      <c r="H94" s="14" t="s">
        <v>43</v>
      </c>
      <c r="I94" s="14" t="s">
        <v>43</v>
      </c>
      <c r="J94" s="14" t="s">
        <v>43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/>
      <c r="X94" s="17"/>
      <c r="Y94" s="17"/>
      <c r="Z94" s="17"/>
    </row>
    <row r="95" spans="1:26" ht="15.75" customHeight="1" x14ac:dyDescent="0.2">
      <c r="A95" s="12" t="s">
        <v>246</v>
      </c>
      <c r="B95" s="13">
        <v>7</v>
      </c>
      <c r="C95" s="14">
        <v>999</v>
      </c>
      <c r="D95" s="14" t="s">
        <v>244</v>
      </c>
      <c r="E95" s="15" t="e">
        <f t="array" aca="1" ref="E95" ca="1">_xludf.IFS(B95=1,20,B95=2,15,B95=3,10,B95&gt;=4,5)</f>
        <v>#NAME?</v>
      </c>
      <c r="F95" s="14" t="s">
        <v>43</v>
      </c>
      <c r="G95" s="14" t="s">
        <v>43</v>
      </c>
      <c r="H95" s="14" t="s">
        <v>106</v>
      </c>
      <c r="I95" s="14" t="s">
        <v>43</v>
      </c>
      <c r="J95" s="14" t="s">
        <v>43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7"/>
      <c r="X95" s="17"/>
      <c r="Y95" s="17"/>
      <c r="Z95" s="17"/>
    </row>
    <row r="96" spans="1:26" ht="15.75" customHeight="1" x14ac:dyDescent="0.2">
      <c r="A96" s="12" t="s">
        <v>247</v>
      </c>
      <c r="B96" s="13">
        <v>7</v>
      </c>
      <c r="C96" s="14">
        <v>999</v>
      </c>
      <c r="D96" s="14" t="s">
        <v>244</v>
      </c>
      <c r="E96" s="15" t="e">
        <f t="array" aca="1" ref="E96" ca="1">_xludf.IFS(B96=1,20,B96=2,15,B96=3,10,B96&gt;=4,5)</f>
        <v>#NAME?</v>
      </c>
      <c r="F96" s="14" t="s">
        <v>43</v>
      </c>
      <c r="G96" s="14" t="s">
        <v>38</v>
      </c>
      <c r="H96" s="14" t="s">
        <v>43</v>
      </c>
      <c r="I96" s="14" t="s">
        <v>43</v>
      </c>
      <c r="J96" s="14" t="s">
        <v>106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7"/>
      <c r="X96" s="17"/>
      <c r="Y96" s="17"/>
      <c r="Z96" s="17"/>
    </row>
    <row r="97" spans="2:22" ht="15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2:22" ht="15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2:22" ht="15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2:22" ht="15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2:22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2:22" ht="15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2:22" ht="15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2:22" ht="15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2:22" ht="15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2:22" ht="15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2:22" ht="15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2:22" ht="15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2:22" ht="15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2:22" ht="15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2:22" ht="15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2:22" ht="15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2:22" ht="15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2:22" ht="15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2:22" ht="15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2:22" ht="15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2:22" ht="15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2:22" ht="15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2:22" ht="15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2:22" ht="15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2:22" ht="15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2:22" ht="15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2:22" ht="15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2:22" ht="15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2:22" ht="15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2:22" ht="15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2:22" ht="15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2:22" ht="15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2:22" ht="15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2:22" ht="15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2:22" ht="15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2:22" ht="15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2:22" ht="15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2:22" ht="15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2:22" ht="15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2:22" ht="15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2:22" ht="15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2:22" ht="15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2:22" ht="15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2:22" ht="15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2:22" ht="15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2:22" ht="15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2:22" ht="15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2:22" ht="15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2:22" ht="15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2:22" ht="15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2:22" ht="15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2:22" ht="15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2:22" ht="15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2:22" ht="15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2:22" ht="15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2:22" ht="15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2:22" ht="15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2:22" ht="15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2:22" ht="15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2:22" ht="15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2:22" ht="15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2:22" ht="15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2:22" ht="15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2:22" ht="15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2:22" ht="15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2:22" ht="15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2:22" ht="15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2:22" ht="15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2:22" ht="15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2:22" ht="15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2:22" ht="15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2:22" ht="15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2:22" ht="15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2:22" ht="15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2:22" ht="15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2:22" ht="15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2:22" ht="15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2:22" ht="15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2:22" ht="15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2:22" ht="15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2:22" ht="15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2:22" ht="15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2:22" ht="15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2:22" ht="15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2:22" ht="15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2:22" ht="15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2:22" ht="15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2:22" ht="15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2:22" ht="15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2:22" ht="15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2:22" ht="15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2:22" ht="15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2:22" ht="15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2:22" ht="15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2:22" ht="15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2:22" ht="15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2:22" ht="15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2:22" ht="15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2:22" ht="15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2:22" ht="15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2:22" ht="15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2:22" ht="15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2:22" ht="15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2:22" ht="15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2:22" ht="15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2:22" ht="15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2:22" ht="15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2:22" ht="15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2:22" ht="15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2:22" ht="15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2:22" ht="15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2:22" ht="15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2:22" ht="15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2:22" ht="15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2:22" ht="15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2:22" ht="15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2:22" ht="15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2:22" ht="15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2:22" ht="15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2:22" ht="15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2:22" ht="15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2:22" ht="15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2:22" ht="15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2:22" ht="15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2:22" ht="15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2:22" ht="15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2:22" ht="15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2:22" ht="15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2:22" ht="15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2:22" ht="15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2:22" ht="15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2:22" ht="15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2:22" ht="15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2:22" ht="15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2:22" ht="15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2:22" ht="15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2:22" ht="15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2:22" ht="15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2:22" ht="15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2:22" ht="15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2:22" ht="15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2:22" ht="15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2:22" ht="15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2:22" ht="15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2:22" ht="15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2:22" ht="15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2:22" ht="15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2:22" ht="15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2:22" ht="15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2:22" ht="15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2:22" ht="15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2:22" ht="15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2:22" ht="15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2:22" ht="15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2:22" ht="15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2:22" ht="15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2:22" ht="15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2:22" ht="15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2:22" ht="15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2:22" ht="15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2:22" ht="15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2:22" ht="15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2:22" ht="15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2:22" ht="15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2:22" ht="15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2:22" ht="15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2:22" ht="15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2:22" ht="15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2:22" ht="15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2:22" ht="15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2:22" ht="15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2:22" ht="15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2:22" ht="15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2:22" ht="15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2:22" ht="15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2:22" ht="15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2:22" ht="15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2:22" ht="15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2:22" ht="15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2:22" ht="15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2:22" ht="15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2:22" ht="15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2:22" ht="15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2:22" ht="15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2:22" ht="15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2:22" ht="15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2:22" ht="15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2:22" ht="15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2:22" ht="15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2:22" ht="15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2:22" ht="15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2:22" ht="15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2:22" ht="15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2:22" ht="15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2:22" ht="15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2:22" ht="15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2:22" ht="15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2:22" ht="15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2:22" ht="15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2:22" ht="15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2:22" ht="15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2:22" ht="15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2:22" ht="15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2:22" ht="15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2:22" ht="15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2:22" ht="15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2:22" ht="15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2:22" ht="15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2:22" ht="15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2:22" ht="15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2:22" ht="15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2:22" ht="15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2:22" ht="15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2:22" ht="15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2:22" ht="15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2:22" ht="15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2:22" ht="15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2:22" ht="15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2:22" ht="15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2:22" ht="15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2:22" ht="15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2:22" ht="15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2:22" ht="15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2:22" ht="15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2:22" ht="15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2:22" ht="15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2:22" ht="15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2:22" ht="15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2:22" ht="15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2:22" ht="15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2:22" ht="15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2:22" ht="15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2:22" ht="15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2:22" ht="15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2:22" ht="15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2:22" ht="15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2:22" ht="15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2:22" ht="15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2:22" ht="15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2:22" ht="15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2:22" ht="15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2:22" ht="15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2:22" ht="15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2:22" ht="15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2:22" ht="15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2:22" ht="15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2:22" ht="15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2:22" ht="15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2:22" ht="15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2:22" ht="15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2:22" ht="15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2:22" ht="15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2:22" ht="15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2:22" ht="15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2:22" ht="15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2:22" ht="15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2:22" ht="15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2:22" ht="15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2:22" ht="15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2:22" ht="15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2:22" ht="15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2:22" ht="15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2:22" ht="15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2:22" ht="15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2:22" ht="15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2:22" ht="15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2:22" ht="15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2:22" ht="15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2:22" ht="15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2:22" ht="15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2:22" ht="15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2:22" ht="15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2:22" ht="15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2:22" ht="15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2:22" ht="15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2:22" ht="15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2:22" ht="15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2:22" ht="15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2:22" ht="15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2:22" ht="15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2:22" ht="15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2:22" ht="15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2:22" ht="15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2:22" ht="15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2:22" ht="15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2:22" ht="15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2:22" ht="15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2:22" ht="15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2:22" ht="15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2:22" ht="15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2:22" ht="15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2:22" ht="15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2:22" ht="15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2:22" ht="15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2:22" ht="15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2:22" ht="15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2:22" ht="15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2:22" ht="15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2:22" ht="15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2:22" ht="15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2:22" ht="15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2:22" ht="15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2:22" ht="15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2:22" ht="15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2:22" ht="15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2:22" ht="15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2:22" ht="15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2:22" ht="15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2:22" ht="15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2:22" ht="15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2:22" ht="15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2:22" ht="15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2:22" ht="15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2:22" ht="15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2:22" ht="15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2:22" ht="15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2:22" ht="15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2:22" ht="15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2:22" ht="15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2:22" ht="15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2:22" ht="15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2:22" ht="15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2:22" ht="15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2:22" ht="15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2:22" ht="15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2:22" ht="15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2:22" ht="15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2:22" ht="15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2:22" ht="15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2:22" ht="15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2:22" ht="15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2:22" ht="15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2:22" ht="15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2:22" ht="15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2:22" ht="15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2:22" ht="15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2:22" ht="15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2:22" ht="15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2:22" ht="15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2:22" ht="15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2:22" ht="15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2:22" ht="15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2:22" ht="15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2:22" ht="15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2:22" ht="15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2:22" ht="15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2:22" ht="15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2:22" ht="15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2:22" ht="15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2:22" ht="15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2:22" ht="15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2:22" ht="15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2:22" ht="15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2:22" ht="15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2:22" ht="15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2:22" ht="15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2:22" ht="15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2:22" ht="15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2:22" ht="15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2:22" ht="15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2:22" ht="15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2:22" ht="15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2:22" ht="15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2:22" ht="15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2:22" ht="15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2:22" ht="15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2:22" ht="15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2:22" ht="15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2:22" ht="15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2:22" ht="15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2:22" ht="15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2:22" ht="15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2:22" ht="15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2:22" ht="15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2:22" ht="15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2:22" ht="15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2:22" ht="15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2:22" ht="15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2:22" ht="15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2:22" ht="15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2:22" ht="15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2:22" ht="15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2:22" ht="15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2:22" ht="15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2:22" ht="15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2:22" ht="15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2:22" ht="15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2:22" ht="15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2:22" ht="15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2:22" ht="15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2:22" ht="15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2:22" ht="15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2:22" ht="15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2:22" ht="15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2:22" ht="15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2:22" ht="15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2:22" ht="15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2:22" ht="15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2:22" ht="15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2:22" ht="15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2:22" ht="15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2:22" ht="15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2:22" ht="15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2:22" ht="15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2:22" ht="15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2:22" ht="15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2:22" ht="15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2:22" ht="15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2:22" ht="15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2:22" ht="15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2:22" ht="15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2:22" ht="15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2:22" ht="15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2:22" ht="15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2:22" ht="15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2:22" ht="15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2:22" ht="15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2:22" ht="15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2:22" ht="15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2:22" ht="15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2:22" ht="15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2:22" ht="15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2:22" ht="15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2:22" ht="15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2:22" ht="15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2:22" ht="15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2:22" ht="15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2:22" ht="15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2:22" ht="15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2:22" ht="15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2:22" ht="15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2:22" ht="15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2:22" ht="15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2:22" ht="15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2:22" ht="15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2:22" ht="15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2:22" ht="15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2:22" ht="15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2:22" ht="15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2:22" ht="15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2:22" ht="15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2:22" ht="15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2:22" ht="15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2:22" ht="15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2:22" ht="15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2:22" ht="15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2:22" ht="15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2:22" ht="15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2:22" ht="15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2:22" ht="15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2:22" ht="15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2:22" ht="15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2:22" ht="15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2:22" ht="15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2:22" ht="15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2:22" ht="15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2:22" ht="15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2:22" ht="15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2:22" ht="15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2:22" ht="15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2:22" ht="15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2:22" ht="15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2:22" ht="15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2:22" ht="15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2:22" ht="15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2:22" ht="15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2:22" ht="15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2:22" ht="15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2:22" ht="15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2:22" ht="15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2:22" ht="15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2:22" ht="15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2:22" ht="15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2:22" ht="15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2:22" ht="15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2:22" ht="15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2:22" ht="15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2:22" ht="15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2:22" ht="15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2:22" ht="15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2:22" ht="15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2:22" ht="15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2:22" ht="15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2:22" ht="15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2:22" ht="15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2:22" ht="15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2:22" ht="15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2:22" ht="15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2:22" ht="15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2:22" ht="15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2:22" ht="15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2:22" ht="15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2:22" ht="15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2:22" ht="15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2:22" ht="15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2:22" ht="15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2:22" ht="15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2:22" ht="15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2:22" ht="15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2:22" ht="15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2:22" ht="15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2:22" ht="15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2:22" ht="15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2:22" ht="15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2:22" ht="15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2:22" ht="15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2:22" ht="15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2:22" ht="15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2:22" ht="15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2:22" ht="15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2:22" ht="15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2:22" ht="15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2:22" ht="15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2:22" ht="15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2:22" ht="15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2:22" ht="15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2:22" ht="15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2:22" ht="15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2:22" ht="15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2:22" ht="15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2:22" ht="15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2:22" ht="15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2:22" ht="15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2:22" ht="15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2:22" ht="15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2:22" ht="15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2:22" ht="15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2:22" ht="15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2:22" ht="15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2:22" ht="15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2:22" ht="15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2:22" ht="15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2:22" ht="15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2:22" ht="15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2:22" ht="15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2:22" ht="15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2:22" ht="15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2:22" ht="15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2:22" ht="15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2:22" ht="15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2:22" ht="15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2:22" ht="15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2:22" ht="15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2:22" ht="15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2:22" ht="15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2:22" ht="15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2:22" ht="15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2:22" ht="15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2:22" ht="15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2:22" ht="15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2:22" ht="15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2:22" ht="15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2:22" ht="15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2:22" ht="15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2:22" ht="15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2:22" ht="15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2:22" ht="15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2:22" ht="15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2:22" ht="15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2:22" ht="15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2:22" ht="15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2:22" ht="15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2:22" ht="15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2:22" ht="15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2:22" ht="15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2:22" ht="15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2:22" ht="15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2:22" ht="15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2:22" ht="15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2:22" ht="15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2:22" ht="15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2:22" ht="15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2:22" ht="15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2:22" ht="15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2:22" ht="15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2:22" ht="15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2:22" ht="15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2:22" ht="15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2:22" ht="15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2:22" ht="15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2:22" ht="15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2:22" ht="15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2:22" ht="15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2:22" ht="15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2:22" ht="15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2:22" ht="15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2:22" ht="15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2:22" ht="15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2:22" ht="15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2:22" ht="15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2:22" ht="15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2:22" ht="15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2:22" ht="15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2:22" ht="15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2:22" ht="15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2:22" ht="15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2:22" ht="15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2:22" ht="15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2:22" ht="15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2:22" ht="15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2:22" ht="15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2:22" ht="15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2:22" ht="15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2:22" ht="15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2:22" ht="15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2:22" ht="15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2:22" ht="15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2:22" ht="15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2:22" ht="15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2:22" ht="15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2:22" ht="15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2:22" ht="15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2:22" ht="15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2:22" ht="15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2:22" ht="15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2:22" ht="15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2:22" ht="15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2:22" ht="15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2:22" ht="15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2:22" ht="15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2:22" ht="15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2:22" ht="15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2:22" ht="15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2:22" ht="15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2:22" ht="15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2:22" ht="15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2:22" ht="15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2:22" ht="15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2:22" ht="15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2:22" ht="15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2:22" ht="15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2:22" ht="15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2:22" ht="15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2:22" ht="15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2:22" ht="15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2:22" ht="15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2:22" ht="15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2:22" ht="15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2:22" ht="15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2:22" ht="15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2:22" ht="15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2:22" ht="15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2:22" ht="15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2:22" ht="15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2:22" ht="15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2:22" ht="15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2:22" ht="15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2:22" ht="15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2:22" ht="15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2:22" ht="15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2:22" ht="15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2:22" ht="15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2:22" ht="15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2:22" ht="15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2:22" ht="15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2:22" ht="15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2:22" ht="15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2:22" ht="15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2:22" ht="15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2:22" ht="15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2:22" ht="15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2:22" ht="15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2:22" ht="15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2:22" ht="15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2:22" ht="15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2:22" ht="15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2:22" ht="15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2:22" ht="15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2:22" ht="15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2:22" ht="15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2:22" ht="15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2:22" ht="15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2:22" ht="15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2:22" ht="15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2:22" ht="15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2:22" ht="15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2:22" ht="15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2:22" ht="15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2:22" ht="15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2:22" ht="15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2:22" ht="15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2:22" ht="15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2:22" ht="15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2:22" ht="15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2:22" ht="15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2:22" ht="15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2:22" ht="15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2:22" ht="15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2:22" ht="15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2:22" ht="15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2:22" ht="15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2:22" ht="15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2:22" ht="15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2:22" ht="15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2:22" ht="15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2:22" ht="15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2:22" ht="15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2:22" ht="15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2:22" ht="15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2:22" ht="15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2:22" ht="15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2:22" ht="15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2:22" ht="15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2:22" ht="15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2:22" ht="15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2:22" ht="15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2:22" ht="15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2:22" ht="15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2:22" ht="15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2:22" ht="15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2:22" ht="15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2:22" ht="15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2:22" ht="15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2:22" ht="15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2:22" ht="15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2:22" ht="15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2:22" ht="15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2:22" ht="15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2:22" ht="15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2:22" ht="15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2:22" ht="15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2:22" ht="15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2:22" ht="15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2:22" ht="15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2:22" ht="15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2:22" ht="15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2:22" ht="15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2:22" ht="15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2:22" ht="15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2:22" ht="15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2:22" ht="15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2:22" ht="15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2:22" ht="15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2:22" ht="15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2:22" ht="15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2:22" ht="15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2:22" ht="15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2:22" ht="15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2:22" ht="15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2:22" ht="15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2:22" ht="15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2:22" ht="15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2:22" ht="15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2:22" ht="15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2:22" ht="15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2:22" ht="15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2:22" ht="15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2:22" ht="15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2:22" ht="15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2:22" ht="15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2:22" ht="15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2:22" ht="15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2:22" ht="15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2:22" ht="15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2:22" ht="15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2:22" ht="15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2:22" ht="15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2:22" ht="15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2:22" ht="15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2:22" ht="15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2:22" ht="15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2:22" ht="15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2:22" ht="15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2:22" ht="15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2:22" ht="15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2:22" ht="15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2:22" ht="15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2:22" ht="15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2:22" ht="15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2:22" ht="15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2:22" ht="15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2:22" ht="15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2:22" ht="15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2:22" ht="15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2:22" ht="15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2:22" ht="15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2:22" ht="15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2:22" ht="15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2:22" ht="15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2:22" ht="15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2:22" ht="15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2:22" ht="15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2:22" ht="15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2:22" ht="15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2:22" ht="15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2:22" ht="15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2:22" ht="15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2:22" ht="15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2:22" ht="15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2:22" ht="15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2:22" ht="15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2:22" ht="15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2:22" ht="15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2:22" ht="15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2:22" ht="15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2:22" ht="15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2:22" ht="15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2:22" ht="15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2:22" ht="15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2:22" ht="15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2:22" ht="15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2:22" ht="15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2:22" ht="15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2:22" ht="15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2:22" ht="15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2:22" ht="15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2:22" ht="15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2:22" ht="15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2:22" ht="15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2:22" ht="15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2:22" ht="15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2:22" ht="15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2:22" ht="15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2:22" ht="15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2:22" ht="15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2:22" ht="15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2:22" ht="15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2:22" ht="15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2:22" ht="15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2:22" ht="15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2:22" ht="15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2:22" ht="15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2:22" ht="15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2:22" ht="15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2:22" ht="15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2:22" ht="15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2:22" ht="15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2:22" ht="15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2:22" ht="15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2:22" ht="15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2:22" ht="15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2:22" ht="15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2:22" ht="15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2:22" ht="15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2:22" ht="15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2:22" ht="15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2:22" ht="15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2:22" ht="15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2:22" ht="15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2:22" ht="15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2:22" ht="15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2:22" ht="15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2:22" ht="15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2:22" ht="15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2:22" ht="15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2:22" ht="15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2:22" ht="15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2:22" ht="15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2:22" ht="15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2:22" ht="15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2:22" ht="15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2:22" ht="15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2:22" ht="15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2:22" ht="15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2:22" ht="15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2:22" ht="15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2:22" ht="15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2:22" ht="15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2:22" ht="15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2:22" ht="15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2:22" ht="15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2:22" ht="15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2:22" ht="15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2:22" ht="15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2:22" ht="15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2:22" ht="15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2:22" ht="15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2:22" ht="15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2:22" ht="15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2:22" ht="15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2:22" ht="15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2:22" ht="15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2:22" ht="15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2:22" ht="15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2:22" ht="15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2:22" ht="15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2:22" ht="15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2:22" ht="15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2:22" ht="15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2:22" ht="15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2:22" ht="15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2:22" ht="15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2:22" ht="15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2:22" ht="15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2:22" ht="15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2:22" ht="15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2:22" ht="15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2:22" ht="15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2:22" ht="15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2:22" ht="15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2:22" ht="15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2:22" ht="15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2:22" ht="15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2:22" ht="15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2:22" ht="15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2:22" ht="15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2:22" ht="15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2:22" ht="15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2:22" ht="15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2:22" ht="15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2:22" ht="15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2:22" ht="15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2:22" ht="15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2:22" ht="15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5">
    <mergeCell ref="A2:V2"/>
    <mergeCell ref="A3:V3"/>
    <mergeCell ref="A4:D4"/>
    <mergeCell ref="F4:J4"/>
    <mergeCell ref="K4:V4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/>
  </sheetViews>
  <sheetFormatPr baseColWidth="10" defaultColWidth="14.5" defaultRowHeight="15" customHeight="1" x14ac:dyDescent="0.2"/>
  <cols>
    <col min="1" max="1" width="6.6640625" customWidth="1"/>
    <col min="2" max="2" width="30.6640625" customWidth="1"/>
    <col min="3" max="3" width="22.6640625" customWidth="1"/>
    <col min="4" max="4" width="8.83203125" customWidth="1"/>
    <col min="5" max="5" width="7.5" customWidth="1"/>
    <col min="6" max="26" width="8.83203125" customWidth="1"/>
  </cols>
  <sheetData>
    <row r="1" spans="1:5" ht="6" customHeight="1" x14ac:dyDescent="0.2"/>
    <row r="2" spans="1:5" ht="36" customHeight="1" x14ac:dyDescent="0.2">
      <c r="A2" s="46" t="s">
        <v>248</v>
      </c>
      <c r="B2" s="47"/>
      <c r="C2" s="47"/>
      <c r="D2" s="47"/>
      <c r="E2" s="48"/>
    </row>
    <row r="4" spans="1:5" ht="6" customHeight="1" x14ac:dyDescent="0.2"/>
    <row r="5" spans="1:5" ht="21.75" customHeight="1" x14ac:dyDescent="0.2">
      <c r="A5" s="49" t="s">
        <v>249</v>
      </c>
      <c r="B5" s="47"/>
      <c r="C5" s="47"/>
      <c r="D5" s="47"/>
      <c r="E5" s="48"/>
    </row>
    <row r="6" spans="1:5" ht="21.75" customHeight="1" x14ac:dyDescent="0.2">
      <c r="B6" s="18" t="s">
        <v>250</v>
      </c>
      <c r="C6" s="19">
        <v>6</v>
      </c>
      <c r="D6" s="50"/>
      <c r="E6" s="48"/>
    </row>
    <row r="7" spans="1:5" ht="21.75" customHeight="1" x14ac:dyDescent="0.2">
      <c r="B7" s="18" t="s">
        <v>251</v>
      </c>
      <c r="C7" s="19">
        <v>5</v>
      </c>
      <c r="D7" s="50"/>
      <c r="E7" s="48"/>
    </row>
    <row r="8" spans="1:5" ht="21.75" customHeight="1" x14ac:dyDescent="0.2">
      <c r="B8" s="18" t="s">
        <v>252</v>
      </c>
      <c r="C8" s="20">
        <v>0.8</v>
      </c>
      <c r="D8" s="51">
        <f>C8*'Auction Draft'!B3</f>
        <v>452</v>
      </c>
      <c r="E8" s="48"/>
    </row>
    <row r="9" spans="1:5" ht="21.75" customHeight="1" x14ac:dyDescent="0.2">
      <c r="B9" s="18" t="s">
        <v>253</v>
      </c>
      <c r="C9" s="20">
        <v>0.2</v>
      </c>
      <c r="D9" s="51">
        <f>C9*'Auction Draft'!B3</f>
        <v>113</v>
      </c>
      <c r="E9" s="48"/>
    </row>
    <row r="10" spans="1:5" ht="21.75" customHeight="1" x14ac:dyDescent="0.2">
      <c r="B10" s="18" t="s">
        <v>254</v>
      </c>
      <c r="C10" s="20">
        <v>0</v>
      </c>
      <c r="D10" s="51">
        <f>C10*'Auction Draft'!B3</f>
        <v>0</v>
      </c>
      <c r="E10" s="48"/>
    </row>
    <row r="11" spans="1:5" ht="21.75" customHeight="1" x14ac:dyDescent="0.2">
      <c r="B11" s="18" t="s">
        <v>255</v>
      </c>
      <c r="C11" s="21">
        <f>C8+C9+C10</f>
        <v>1</v>
      </c>
      <c r="D11" s="50"/>
      <c r="E11" s="48"/>
    </row>
    <row r="13" spans="1:5" ht="6" customHeight="1" x14ac:dyDescent="0.2"/>
    <row r="14" spans="1:5" ht="21.75" customHeight="1" x14ac:dyDescent="0.2">
      <c r="A14" s="49" t="s">
        <v>256</v>
      </c>
      <c r="B14" s="47"/>
      <c r="C14" s="47"/>
      <c r="D14" s="47"/>
      <c r="E14" s="48"/>
    </row>
    <row r="15" spans="1:5" ht="21.75" customHeight="1" x14ac:dyDescent="0.2">
      <c r="A15" s="22" t="s">
        <v>257</v>
      </c>
      <c r="B15" s="18" t="s">
        <v>258</v>
      </c>
      <c r="C15" s="50"/>
      <c r="D15" s="48"/>
      <c r="E15" s="23"/>
    </row>
    <row r="16" spans="1:5" ht="19.5" customHeight="1" x14ac:dyDescent="0.2">
      <c r="A16" s="24">
        <f t="shared" ref="A16:A30" si="0">IF(ROW()-15&lt;=$C$6,ROW()-15,"")</f>
        <v>1</v>
      </c>
      <c r="B16" s="25" t="s">
        <v>259</v>
      </c>
      <c r="C16" s="50"/>
      <c r="D16" s="48"/>
      <c r="E16" s="23"/>
    </row>
    <row r="17" spans="1:5" ht="19.5" customHeight="1" x14ac:dyDescent="0.2">
      <c r="A17" s="24">
        <f t="shared" si="0"/>
        <v>2</v>
      </c>
      <c r="B17" s="26" t="s">
        <v>260</v>
      </c>
      <c r="C17" s="50"/>
      <c r="D17" s="48"/>
      <c r="E17" s="23"/>
    </row>
    <row r="18" spans="1:5" ht="19.5" customHeight="1" x14ac:dyDescent="0.2">
      <c r="A18" s="24">
        <f t="shared" si="0"/>
        <v>3</v>
      </c>
      <c r="B18" s="25" t="s">
        <v>261</v>
      </c>
      <c r="C18" s="50"/>
      <c r="D18" s="48"/>
      <c r="E18" s="23"/>
    </row>
    <row r="19" spans="1:5" ht="19.5" customHeight="1" x14ac:dyDescent="0.2">
      <c r="A19" s="24">
        <f t="shared" si="0"/>
        <v>4</v>
      </c>
      <c r="B19" s="26" t="s">
        <v>262</v>
      </c>
      <c r="C19" s="50"/>
      <c r="D19" s="48"/>
      <c r="E19" s="23"/>
    </row>
    <row r="20" spans="1:5" ht="19.5" customHeight="1" x14ac:dyDescent="0.2">
      <c r="A20" s="24">
        <f t="shared" si="0"/>
        <v>5</v>
      </c>
      <c r="B20" s="25" t="s">
        <v>263</v>
      </c>
      <c r="C20" s="50"/>
      <c r="D20" s="48"/>
      <c r="E20" s="23"/>
    </row>
    <row r="21" spans="1:5" ht="19.5" customHeight="1" x14ac:dyDescent="0.2">
      <c r="A21" s="24">
        <f t="shared" si="0"/>
        <v>6</v>
      </c>
      <c r="B21" s="26" t="s">
        <v>264</v>
      </c>
      <c r="C21" s="50"/>
      <c r="D21" s="48"/>
      <c r="E21" s="23"/>
    </row>
    <row r="22" spans="1:5" ht="19.5" hidden="1" customHeight="1" x14ac:dyDescent="0.2">
      <c r="A22" s="24" t="str">
        <f t="shared" si="0"/>
        <v/>
      </c>
      <c r="B22" s="25"/>
      <c r="C22" s="50"/>
      <c r="D22" s="48"/>
      <c r="E22" s="23"/>
    </row>
    <row r="23" spans="1:5" ht="19.5" hidden="1" customHeight="1" x14ac:dyDescent="0.2">
      <c r="A23" s="24" t="str">
        <f t="shared" si="0"/>
        <v/>
      </c>
      <c r="B23" s="26"/>
      <c r="C23" s="50"/>
      <c r="D23" s="48"/>
      <c r="E23" s="23"/>
    </row>
    <row r="24" spans="1:5" ht="15.75" hidden="1" customHeight="1" x14ac:dyDescent="0.2">
      <c r="A24" s="24" t="str">
        <f t="shared" si="0"/>
        <v/>
      </c>
      <c r="B24" s="25"/>
      <c r="C24" s="50"/>
      <c r="D24" s="48"/>
      <c r="E24" s="23"/>
    </row>
    <row r="25" spans="1:5" ht="18" hidden="1" customHeight="1" x14ac:dyDescent="0.2">
      <c r="A25" s="24" t="str">
        <f t="shared" si="0"/>
        <v/>
      </c>
      <c r="B25" s="26"/>
      <c r="C25" s="50"/>
      <c r="D25" s="48"/>
      <c r="E25" s="23"/>
    </row>
    <row r="26" spans="1:5" ht="15.75" hidden="1" customHeight="1" x14ac:dyDescent="0.2">
      <c r="A26" s="24" t="str">
        <f t="shared" si="0"/>
        <v/>
      </c>
      <c r="B26" s="25"/>
      <c r="C26" s="50"/>
      <c r="D26" s="48"/>
      <c r="E26" s="23"/>
    </row>
    <row r="27" spans="1:5" ht="15.75" hidden="1" customHeight="1" x14ac:dyDescent="0.2">
      <c r="A27" s="24" t="str">
        <f t="shared" si="0"/>
        <v/>
      </c>
      <c r="B27" s="26"/>
      <c r="C27" s="50"/>
      <c r="D27" s="48"/>
      <c r="E27" s="23"/>
    </row>
    <row r="28" spans="1:5" ht="15.75" hidden="1" customHeight="1" x14ac:dyDescent="0.2">
      <c r="A28" s="24" t="str">
        <f t="shared" si="0"/>
        <v/>
      </c>
      <c r="B28" s="25"/>
      <c r="C28" s="50"/>
      <c r="D28" s="48"/>
      <c r="E28" s="23"/>
    </row>
    <row r="29" spans="1:5" ht="15.75" hidden="1" customHeight="1" x14ac:dyDescent="0.2">
      <c r="A29" s="24" t="str">
        <f t="shared" si="0"/>
        <v/>
      </c>
      <c r="B29" s="26"/>
      <c r="C29" s="50"/>
      <c r="D29" s="48"/>
      <c r="E29" s="23"/>
    </row>
    <row r="30" spans="1:5" ht="15.75" hidden="1" customHeight="1" x14ac:dyDescent="0.2">
      <c r="A30" s="24" t="str">
        <f t="shared" si="0"/>
        <v/>
      </c>
      <c r="B30" s="25"/>
      <c r="C30" s="50"/>
      <c r="D30" s="48"/>
      <c r="E30" s="23"/>
    </row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5">
    <mergeCell ref="C28:D28"/>
    <mergeCell ref="C29:D29"/>
    <mergeCell ref="C30:D30"/>
    <mergeCell ref="C20:D20"/>
    <mergeCell ref="C21:D21"/>
    <mergeCell ref="C22:D22"/>
    <mergeCell ref="C23:D23"/>
    <mergeCell ref="C24:D24"/>
    <mergeCell ref="C25:D25"/>
    <mergeCell ref="C26:D26"/>
    <mergeCell ref="C16:D16"/>
    <mergeCell ref="C17:D17"/>
    <mergeCell ref="C18:D18"/>
    <mergeCell ref="C19:D19"/>
    <mergeCell ref="C27:D27"/>
    <mergeCell ref="D9:E9"/>
    <mergeCell ref="D10:E10"/>
    <mergeCell ref="D11:E11"/>
    <mergeCell ref="A14:E14"/>
    <mergeCell ref="C15:D15"/>
    <mergeCell ref="A2:E2"/>
    <mergeCell ref="A5:E5"/>
    <mergeCell ref="D6:E6"/>
    <mergeCell ref="D7:E7"/>
    <mergeCell ref="D8:E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8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 x14ac:dyDescent="0.2"/>
  <cols>
    <col min="1" max="1" width="12.5" customWidth="1"/>
    <col min="2" max="2" width="22.83203125" customWidth="1"/>
    <col min="3" max="3" width="24.6640625" customWidth="1"/>
    <col min="4" max="4" width="14.6640625" customWidth="1"/>
    <col min="5" max="5" width="24.6640625" customWidth="1"/>
    <col min="6" max="6" width="14.6640625" customWidth="1"/>
    <col min="7" max="7" width="24.6640625" customWidth="1"/>
    <col min="8" max="8" width="14.6640625" customWidth="1"/>
    <col min="9" max="9" width="24.6640625" customWidth="1"/>
    <col min="10" max="10" width="14.6640625" customWidth="1"/>
    <col min="11" max="11" width="24.6640625" customWidth="1"/>
    <col min="12" max="12" width="14.6640625" customWidth="1"/>
    <col min="13" max="13" width="16.6640625" customWidth="1"/>
    <col min="14" max="26" width="8.83203125" customWidth="1"/>
  </cols>
  <sheetData>
    <row r="1" spans="1:13" ht="6" customHeight="1" x14ac:dyDescent="0.2"/>
    <row r="2" spans="1:13" ht="36" customHeight="1" x14ac:dyDescent="0.2">
      <c r="A2" s="46" t="s">
        <v>265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3" ht="25.5" customHeight="1" x14ac:dyDescent="0.2">
      <c r="A3" s="22" t="s">
        <v>266</v>
      </c>
      <c r="B3" s="27">
        <f>SUM(D5:D12)+SUM(F5:F12)+SUM(H5:H12)+SUM(J5:J12)+SUM(L5:L12)</f>
        <v>565</v>
      </c>
      <c r="C3" s="52"/>
      <c r="D3" s="47"/>
      <c r="E3" s="47"/>
      <c r="F3" s="47"/>
      <c r="G3" s="47"/>
      <c r="H3" s="47"/>
      <c r="I3" s="47"/>
      <c r="J3" s="47"/>
      <c r="K3" s="47"/>
      <c r="L3" s="47"/>
      <c r="M3" s="48"/>
    </row>
    <row r="4" spans="1:13" ht="27.75" customHeight="1" x14ac:dyDescent="0.2">
      <c r="A4" s="22" t="s">
        <v>257</v>
      </c>
      <c r="B4" s="22" t="s">
        <v>267</v>
      </c>
      <c r="C4" s="22" t="str">
        <f>IF(INT((COLUMN()-3)/2)+1&lt;='Pool Settings'!$C$7, "Golfer " &amp; (INT((COLUMN()-3)/2)+1), "")</f>
        <v>Golfer 1</v>
      </c>
      <c r="D4" s="28" t="s">
        <v>268</v>
      </c>
      <c r="E4" s="22" t="str">
        <f>IF(INT((COLUMN()-3)/2)+1&lt;='Pool Settings'!$C$7, "Golfer " &amp; (INT((COLUMN()-3)/2)+1), "")</f>
        <v>Golfer 2</v>
      </c>
      <c r="F4" s="28" t="s">
        <v>269</v>
      </c>
      <c r="G4" s="22" t="str">
        <f>IF(INT((COLUMN()-3)/2)+1&lt;='Pool Settings'!$C$7, "Golfer " &amp; (INT((COLUMN()-3)/2)+1), "")</f>
        <v>Golfer 3</v>
      </c>
      <c r="H4" s="28" t="s">
        <v>270</v>
      </c>
      <c r="I4" s="22" t="str">
        <f>IF(INT((COLUMN()-3)/2)+1&lt;='Pool Settings'!$C$7, "Golfer " &amp; (INT((COLUMN()-3)/2)+1), "")</f>
        <v>Golfer 4</v>
      </c>
      <c r="J4" s="28" t="s">
        <v>271</v>
      </c>
      <c r="K4" s="22" t="str">
        <f>IF(INT((COLUMN()-3)/2)+1&lt;='Pool Settings'!$C$7, "Golfer " &amp; (INT((COLUMN()-3)/2)+1), "")</f>
        <v>Golfer 5</v>
      </c>
      <c r="L4" s="28" t="s">
        <v>272</v>
      </c>
      <c r="M4" s="29" t="s">
        <v>273</v>
      </c>
    </row>
    <row r="5" spans="1:13" ht="21.75" customHeight="1" x14ac:dyDescent="0.2">
      <c r="A5" s="24">
        <f t="shared" ref="A5:A10" si="0">IF(B5&lt;&gt;"",ROW()-4,"")</f>
        <v>1</v>
      </c>
      <c r="B5" s="30" t="str">
        <f t="array" ref="B5">IF(ROW()-4&lt;='Pool Settings'!$C$6, INDEX('Pool Settings'!$B$16:$B$100, ROW()-4), "")</f>
        <v>Tommy</v>
      </c>
      <c r="C5" s="31" t="s">
        <v>26</v>
      </c>
      <c r="D5" s="32">
        <v>35</v>
      </c>
      <c r="E5" s="31" t="s">
        <v>84</v>
      </c>
      <c r="F5" s="32">
        <v>15</v>
      </c>
      <c r="G5" s="31" t="s">
        <v>100</v>
      </c>
      <c r="H5" s="32">
        <v>15</v>
      </c>
      <c r="I5" s="31" t="s">
        <v>112</v>
      </c>
      <c r="J5" s="32">
        <v>10</v>
      </c>
      <c r="K5" s="31" t="s">
        <v>274</v>
      </c>
      <c r="L5" s="32">
        <v>10</v>
      </c>
      <c r="M5" s="33">
        <f t="shared" ref="M5:M19" si="1">D5+F5+H5+J5+L5</f>
        <v>85</v>
      </c>
    </row>
    <row r="6" spans="1:13" ht="21.75" customHeight="1" x14ac:dyDescent="0.2">
      <c r="A6" s="24">
        <f t="shared" si="0"/>
        <v>2</v>
      </c>
      <c r="B6" s="30" t="str">
        <f t="array" ref="B6">IF(ROW()-4&lt;='Pool Settings'!$C$6, INDEX('Pool Settings'!$B$16:$B$100, ROW()-4), "")</f>
        <v>Grant</v>
      </c>
      <c r="C6" s="31" t="s">
        <v>275</v>
      </c>
      <c r="D6" s="34">
        <v>25</v>
      </c>
      <c r="E6" s="31" t="s">
        <v>67</v>
      </c>
      <c r="F6" s="34">
        <v>20</v>
      </c>
      <c r="G6" s="31" t="s">
        <v>90</v>
      </c>
      <c r="H6" s="34">
        <v>15</v>
      </c>
      <c r="I6" s="31" t="s">
        <v>97</v>
      </c>
      <c r="J6" s="34">
        <v>25</v>
      </c>
      <c r="K6" s="31" t="s">
        <v>160</v>
      </c>
      <c r="L6" s="34">
        <v>5</v>
      </c>
      <c r="M6" s="35">
        <f t="shared" si="1"/>
        <v>90</v>
      </c>
    </row>
    <row r="7" spans="1:13" ht="21.75" customHeight="1" x14ac:dyDescent="0.2">
      <c r="A7" s="24">
        <f t="shared" si="0"/>
        <v>3</v>
      </c>
      <c r="B7" s="30" t="str">
        <f t="array" ref="B7">IF(ROW()-4&lt;='Pool Settings'!$C$6, INDEX('Pool Settings'!$B$16:$B$100, ROW()-4), "")</f>
        <v>Gavin</v>
      </c>
      <c r="C7" s="31" t="s">
        <v>92</v>
      </c>
      <c r="D7" s="32">
        <v>15</v>
      </c>
      <c r="E7" s="31" t="s">
        <v>107</v>
      </c>
      <c r="F7" s="32">
        <v>15</v>
      </c>
      <c r="G7" s="31" t="s">
        <v>109</v>
      </c>
      <c r="H7" s="32">
        <v>10</v>
      </c>
      <c r="I7" s="31" t="s">
        <v>114</v>
      </c>
      <c r="J7" s="32">
        <v>10</v>
      </c>
      <c r="K7" s="31" t="s">
        <v>132</v>
      </c>
      <c r="L7" s="32">
        <v>5</v>
      </c>
      <c r="M7" s="33">
        <f t="shared" si="1"/>
        <v>55</v>
      </c>
    </row>
    <row r="8" spans="1:13" ht="21.75" customHeight="1" x14ac:dyDescent="0.2">
      <c r="A8" s="24">
        <f t="shared" si="0"/>
        <v>4</v>
      </c>
      <c r="B8" s="30" t="str">
        <f t="array" ref="B8">IF(ROW()-4&lt;='Pool Settings'!$C$6, INDEX('Pool Settings'!$B$16:$B$100, ROW()-4), "")</f>
        <v>Caleb</v>
      </c>
      <c r="C8" s="31" t="s">
        <v>41</v>
      </c>
      <c r="D8" s="34">
        <v>30</v>
      </c>
      <c r="E8" s="31" t="s">
        <v>276</v>
      </c>
      <c r="F8" s="34">
        <v>25</v>
      </c>
      <c r="G8" s="31" t="s">
        <v>79</v>
      </c>
      <c r="H8" s="34">
        <v>15</v>
      </c>
      <c r="I8" s="31" t="s">
        <v>95</v>
      </c>
      <c r="J8" s="34">
        <v>25</v>
      </c>
      <c r="K8" s="31" t="s">
        <v>126</v>
      </c>
      <c r="L8" s="34">
        <v>10</v>
      </c>
      <c r="M8" s="35">
        <f t="shared" si="1"/>
        <v>105</v>
      </c>
    </row>
    <row r="9" spans="1:13" ht="21.75" customHeight="1" x14ac:dyDescent="0.2">
      <c r="A9" s="24">
        <f t="shared" si="0"/>
        <v>5</v>
      </c>
      <c r="B9" s="30" t="str">
        <f t="array" ref="B9">IF(ROW()-4&lt;='Pool Settings'!$C$6, INDEX('Pool Settings'!$B$16:$B$100, ROW()-4), "")</f>
        <v>Ben</v>
      </c>
      <c r="C9" s="31" t="s">
        <v>50</v>
      </c>
      <c r="D9" s="32">
        <v>35</v>
      </c>
      <c r="E9" s="31" t="s">
        <v>277</v>
      </c>
      <c r="F9" s="32">
        <v>25</v>
      </c>
      <c r="G9" s="31" t="s">
        <v>64</v>
      </c>
      <c r="H9" s="32">
        <v>20</v>
      </c>
      <c r="I9" s="31" t="s">
        <v>72</v>
      </c>
      <c r="J9" s="32">
        <v>35</v>
      </c>
      <c r="K9" s="31" t="s">
        <v>75</v>
      </c>
      <c r="L9" s="32">
        <v>25</v>
      </c>
      <c r="M9" s="33">
        <f t="shared" si="1"/>
        <v>140</v>
      </c>
    </row>
    <row r="10" spans="1:13" ht="21.75" customHeight="1" x14ac:dyDescent="0.2">
      <c r="A10" s="24">
        <f t="shared" si="0"/>
        <v>6</v>
      </c>
      <c r="B10" s="30" t="str">
        <f t="array" ref="B10">IF(ROW()-4&lt;='Pool Settings'!$C$6, INDEX('Pool Settings'!$B$16:$B$100, ROW()-4), "")</f>
        <v>Ethan</v>
      </c>
      <c r="C10" s="31" t="s">
        <v>278</v>
      </c>
      <c r="D10" s="34">
        <v>40</v>
      </c>
      <c r="E10" s="31" t="s">
        <v>86</v>
      </c>
      <c r="F10" s="34">
        <v>25</v>
      </c>
      <c r="G10" s="31" t="s">
        <v>117</v>
      </c>
      <c r="H10" s="34">
        <v>10</v>
      </c>
      <c r="I10" s="31" t="s">
        <v>127</v>
      </c>
      <c r="J10" s="34">
        <v>10</v>
      </c>
      <c r="K10" s="31" t="s">
        <v>279</v>
      </c>
      <c r="L10" s="34">
        <v>5</v>
      </c>
      <c r="M10" s="35">
        <f t="shared" si="1"/>
        <v>90</v>
      </c>
    </row>
    <row r="11" spans="1:13" ht="21.75" hidden="1" customHeight="1" x14ac:dyDescent="0.2">
      <c r="A11" s="24" t="str">
        <f t="shared" ref="A11:A19" si="2">IF(B11&lt;&gt;"",ROW()-5,"")</f>
        <v/>
      </c>
      <c r="B11" s="30" t="str">
        <f t="array" ref="B11">IF(ROW()-4&lt;='Pool Settings'!$C$6, INDEX('Pool Settings'!$B$16:$B$100, ROW()-4), "")</f>
        <v/>
      </c>
      <c r="C11" s="31" t="str">
        <f>IF(OR($B11="", MOD(COLUMN()-3,2)=1, INT((COLUMN()-3)/2)+1&gt;'Pool Settings'!$C$7), "", "")</f>
        <v/>
      </c>
      <c r="D11" s="32">
        <v>0</v>
      </c>
      <c r="E11" s="31" t="str">
        <f>IF(OR($B11="", MOD(COLUMN()-3,2)=1, INT((COLUMN()-3)/2)+1&gt;'Pool Settings'!$C$7), "", "")</f>
        <v/>
      </c>
      <c r="F11" s="32">
        <v>0</v>
      </c>
      <c r="G11" s="31" t="str">
        <f>IF(OR($B11="", MOD(COLUMN()-3,2)=1, INT((COLUMN()-3)/2)+1&gt;'Pool Settings'!$C$7), "", "")</f>
        <v/>
      </c>
      <c r="H11" s="32">
        <v>0</v>
      </c>
      <c r="I11" s="31" t="str">
        <f>IF(OR($B11="", MOD(COLUMN()-3,2)=1, INT((COLUMN()-3)/2)+1&gt;'Pool Settings'!$C$7), "", "")</f>
        <v/>
      </c>
      <c r="J11" s="32">
        <v>0</v>
      </c>
      <c r="K11" s="31" t="str">
        <f>IF(OR($B11="", MOD(COLUMN()-3,2)=1, INT((COLUMN()-3)/2)+1&gt;'Pool Settings'!$C$7), "", "")</f>
        <v/>
      </c>
      <c r="L11" s="32">
        <v>0</v>
      </c>
      <c r="M11" s="33">
        <f t="shared" si="1"/>
        <v>0</v>
      </c>
    </row>
    <row r="12" spans="1:13" ht="21.75" hidden="1" customHeight="1" x14ac:dyDescent="0.2">
      <c r="A12" s="24" t="str">
        <f t="shared" si="2"/>
        <v/>
      </c>
      <c r="B12" s="30" t="str">
        <f t="array" ref="B12">IF(ROW()-4&lt;='Pool Settings'!$C$6, INDEX('Pool Settings'!$B$16:$B$100, ROW()-4), "")</f>
        <v/>
      </c>
      <c r="C12" s="31" t="str">
        <f>IF(OR($B12="", MOD(COLUMN()-3,2)=1, INT((COLUMN()-3)/2)+1&gt;'Pool Settings'!$C$7), "", "")</f>
        <v/>
      </c>
      <c r="D12" s="34">
        <v>0</v>
      </c>
      <c r="E12" s="31" t="str">
        <f>IF(OR($B12="", MOD(COLUMN()-3,2)=1, INT((COLUMN()-3)/2)+1&gt;'Pool Settings'!$C$7), "", "")</f>
        <v/>
      </c>
      <c r="F12" s="34">
        <v>0</v>
      </c>
      <c r="G12" s="31" t="str">
        <f>IF(OR($B12="", MOD(COLUMN()-3,2)=1, INT((COLUMN()-3)/2)+1&gt;'Pool Settings'!$C$7), "", "")</f>
        <v/>
      </c>
      <c r="H12" s="34">
        <v>0</v>
      </c>
      <c r="I12" s="31" t="str">
        <f>IF(OR($B12="", MOD(COLUMN()-3,2)=1, INT((COLUMN()-3)/2)+1&gt;'Pool Settings'!$C$7), "", "")</f>
        <v/>
      </c>
      <c r="J12" s="34">
        <v>0</v>
      </c>
      <c r="K12" s="31" t="str">
        <f>IF(OR($B12="", MOD(COLUMN()-3,2)=1, INT((COLUMN()-3)/2)+1&gt;'Pool Settings'!$C$7), "", "")</f>
        <v/>
      </c>
      <c r="L12" s="34">
        <v>0</v>
      </c>
      <c r="M12" s="35">
        <f t="shared" si="1"/>
        <v>0</v>
      </c>
    </row>
    <row r="13" spans="1:13" ht="24.75" hidden="1" customHeight="1" x14ac:dyDescent="0.2">
      <c r="A13" s="24" t="str">
        <f t="shared" si="2"/>
        <v/>
      </c>
      <c r="B13" s="30" t="str">
        <f t="array" ref="B13">IF(ROW()-4&lt;='Pool Settings'!$C$6, INDEX('Pool Settings'!$B$16:$B$100, ROW()-4), "")</f>
        <v/>
      </c>
      <c r="C13" s="31" t="str">
        <f>IF(OR($B13="", MOD(COLUMN()-3,2)=1, INT((COLUMN()-3)/2)+1&gt;'Pool Settings'!$C$7), "", "")</f>
        <v/>
      </c>
      <c r="D13" s="32">
        <v>0</v>
      </c>
      <c r="E13" s="31" t="str">
        <f>IF(OR($B13="", MOD(COLUMN()-3,2)=1, INT((COLUMN()-3)/2)+1&gt;'Pool Settings'!$C$7), "", "")</f>
        <v/>
      </c>
      <c r="F13" s="32">
        <v>0</v>
      </c>
      <c r="G13" s="31" t="str">
        <f>IF(OR($B13="", MOD(COLUMN()-3,2)=1, INT((COLUMN()-3)/2)+1&gt;'Pool Settings'!$C$7), "", "")</f>
        <v/>
      </c>
      <c r="H13" s="32">
        <v>0</v>
      </c>
      <c r="I13" s="31" t="str">
        <f>IF(OR($B13="", MOD(COLUMN()-3,2)=1, INT((COLUMN()-3)/2)+1&gt;'Pool Settings'!$C$7), "", "")</f>
        <v/>
      </c>
      <c r="J13" s="32">
        <v>0</v>
      </c>
      <c r="K13" s="31" t="str">
        <f>IF(OR($B13="", MOD(COLUMN()-3,2)=1, INT((COLUMN()-3)/2)+1&gt;'Pool Settings'!$C$7), "", "")</f>
        <v/>
      </c>
      <c r="L13" s="32">
        <v>0</v>
      </c>
      <c r="M13" s="33">
        <f t="shared" si="1"/>
        <v>0</v>
      </c>
    </row>
    <row r="14" spans="1:13" ht="24.75" hidden="1" customHeight="1" x14ac:dyDescent="0.2">
      <c r="A14" s="24" t="str">
        <f t="shared" si="2"/>
        <v/>
      </c>
      <c r="B14" s="30" t="str">
        <f t="array" ref="B14">IF(ROW()-4&lt;='Pool Settings'!$C$6, INDEX('Pool Settings'!$B$16:$B$100, ROW()-4), "")</f>
        <v/>
      </c>
      <c r="C14" s="31" t="str">
        <f>IF(OR($B14="", MOD(COLUMN()-3,2)=1, INT((COLUMN()-3)/2)+1&gt;'Pool Settings'!$C$7), "", "")</f>
        <v/>
      </c>
      <c r="D14" s="34">
        <v>0</v>
      </c>
      <c r="E14" s="31" t="str">
        <f>IF(OR($B14="", MOD(COLUMN()-3,2)=1, INT((COLUMN()-3)/2)+1&gt;'Pool Settings'!$C$7), "", "")</f>
        <v/>
      </c>
      <c r="F14" s="34">
        <v>0</v>
      </c>
      <c r="G14" s="31" t="str">
        <f>IF(OR($B14="", MOD(COLUMN()-3,2)=1, INT((COLUMN()-3)/2)+1&gt;'Pool Settings'!$C$7), "", "")</f>
        <v/>
      </c>
      <c r="H14" s="34">
        <v>0</v>
      </c>
      <c r="I14" s="31" t="str">
        <f>IF(OR($B14="", MOD(COLUMN()-3,2)=1, INT((COLUMN()-3)/2)+1&gt;'Pool Settings'!$C$7), "", "")</f>
        <v/>
      </c>
      <c r="J14" s="34">
        <v>0</v>
      </c>
      <c r="K14" s="31" t="str">
        <f>IF(OR($B14="", MOD(COLUMN()-3,2)=1, INT((COLUMN()-3)/2)+1&gt;'Pool Settings'!$C$7), "", "")</f>
        <v/>
      </c>
      <c r="L14" s="34">
        <v>0</v>
      </c>
      <c r="M14" s="35">
        <f t="shared" si="1"/>
        <v>0</v>
      </c>
    </row>
    <row r="15" spans="1:13" ht="24.75" hidden="1" customHeight="1" x14ac:dyDescent="0.2">
      <c r="A15" s="24" t="str">
        <f t="shared" si="2"/>
        <v/>
      </c>
      <c r="B15" s="30" t="str">
        <f t="array" ref="B15">IF(ROW()-4&lt;='Pool Settings'!$C$6, INDEX('Pool Settings'!$B$16:$B$100, ROW()-4), "")</f>
        <v/>
      </c>
      <c r="C15" s="31" t="str">
        <f>IF(OR($B15="", MOD(COLUMN()-3,2)=1, INT((COLUMN()-3)/2)+1&gt;'Pool Settings'!$C$7), "", "")</f>
        <v/>
      </c>
      <c r="D15" s="32">
        <v>0</v>
      </c>
      <c r="E15" s="31" t="str">
        <f>IF(OR($B15="", MOD(COLUMN()-3,2)=1, INT((COLUMN()-3)/2)+1&gt;'Pool Settings'!$C$7), "", "")</f>
        <v/>
      </c>
      <c r="F15" s="32">
        <v>0</v>
      </c>
      <c r="G15" s="31" t="str">
        <f>IF(OR($B15="", MOD(COLUMN()-3,2)=1, INT((COLUMN()-3)/2)+1&gt;'Pool Settings'!$C$7), "", "")</f>
        <v/>
      </c>
      <c r="H15" s="32">
        <v>0</v>
      </c>
      <c r="I15" s="31" t="str">
        <f>IF(OR($B15="", MOD(COLUMN()-3,2)=1, INT((COLUMN()-3)/2)+1&gt;'Pool Settings'!$C$7), "", "")</f>
        <v/>
      </c>
      <c r="J15" s="32">
        <v>0</v>
      </c>
      <c r="K15" s="31" t="str">
        <f>IF(OR($B15="", MOD(COLUMN()-3,2)=1, INT((COLUMN()-3)/2)+1&gt;'Pool Settings'!$C$7), "", "")</f>
        <v/>
      </c>
      <c r="L15" s="32">
        <v>0</v>
      </c>
      <c r="M15" s="33">
        <f t="shared" si="1"/>
        <v>0</v>
      </c>
    </row>
    <row r="16" spans="1:13" ht="24.75" hidden="1" customHeight="1" x14ac:dyDescent="0.2">
      <c r="A16" s="24" t="str">
        <f t="shared" si="2"/>
        <v/>
      </c>
      <c r="B16" s="30" t="str">
        <f t="array" ref="B16">IF(ROW()-4&lt;='Pool Settings'!$C$6, INDEX('Pool Settings'!$B$16:$B$100, ROW()-4), "")</f>
        <v/>
      </c>
      <c r="C16" s="31" t="str">
        <f>IF(OR($B16="", MOD(COLUMN()-3,2)=1, INT((COLUMN()-3)/2)+1&gt;'Pool Settings'!$C$7), "", "")</f>
        <v/>
      </c>
      <c r="D16" s="34">
        <v>0</v>
      </c>
      <c r="E16" s="31" t="str">
        <f>IF(OR($B16="", MOD(COLUMN()-3,2)=1, INT((COLUMN()-3)/2)+1&gt;'Pool Settings'!$C$7), "", "")</f>
        <v/>
      </c>
      <c r="F16" s="34">
        <v>0</v>
      </c>
      <c r="G16" s="31" t="str">
        <f>IF(OR($B16="", MOD(COLUMN()-3,2)=1, INT((COLUMN()-3)/2)+1&gt;'Pool Settings'!$C$7), "", "")</f>
        <v/>
      </c>
      <c r="H16" s="34">
        <v>0</v>
      </c>
      <c r="I16" s="31" t="str">
        <f>IF(OR($B16="", MOD(COLUMN()-3,2)=1, INT((COLUMN()-3)/2)+1&gt;'Pool Settings'!$C$7), "", "")</f>
        <v/>
      </c>
      <c r="J16" s="34">
        <v>0</v>
      </c>
      <c r="K16" s="31" t="str">
        <f>IF(OR($B16="", MOD(COLUMN()-3,2)=1, INT((COLUMN()-3)/2)+1&gt;'Pool Settings'!$C$7), "", "")</f>
        <v/>
      </c>
      <c r="L16" s="34">
        <v>0</v>
      </c>
      <c r="M16" s="35">
        <f t="shared" si="1"/>
        <v>0</v>
      </c>
    </row>
    <row r="17" spans="1:13" ht="24.75" hidden="1" customHeight="1" x14ac:dyDescent="0.2">
      <c r="A17" s="24" t="str">
        <f t="shared" si="2"/>
        <v/>
      </c>
      <c r="B17" s="30" t="str">
        <f t="array" ref="B17">IF(ROW()-4&lt;='Pool Settings'!$C$6, INDEX('Pool Settings'!$B$16:$B$100, ROW()-4), "")</f>
        <v/>
      </c>
      <c r="C17" s="31" t="str">
        <f>IF(OR($B17="", MOD(COLUMN()-3,2)=1, INT((COLUMN()-3)/2)+1&gt;'Pool Settings'!$C$7), "", "")</f>
        <v/>
      </c>
      <c r="D17" s="32">
        <v>0</v>
      </c>
      <c r="E17" s="31" t="str">
        <f>IF(OR($B17="", MOD(COLUMN()-3,2)=1, INT((COLUMN()-3)/2)+1&gt;'Pool Settings'!$C$7), "", "")</f>
        <v/>
      </c>
      <c r="F17" s="32">
        <v>0</v>
      </c>
      <c r="G17" s="31" t="str">
        <f>IF(OR($B17="", MOD(COLUMN()-3,2)=1, INT((COLUMN()-3)/2)+1&gt;'Pool Settings'!$C$7), "", "")</f>
        <v/>
      </c>
      <c r="H17" s="32">
        <v>0</v>
      </c>
      <c r="I17" s="31" t="str">
        <f>IF(OR($B17="", MOD(COLUMN()-3,2)=1, INT((COLUMN()-3)/2)+1&gt;'Pool Settings'!$C$7), "", "")</f>
        <v/>
      </c>
      <c r="J17" s="32">
        <v>0</v>
      </c>
      <c r="K17" s="31" t="str">
        <f>IF(OR($B17="", MOD(COLUMN()-3,2)=1, INT((COLUMN()-3)/2)+1&gt;'Pool Settings'!$C$7), "", "")</f>
        <v/>
      </c>
      <c r="L17" s="32">
        <v>0</v>
      </c>
      <c r="M17" s="33">
        <f t="shared" si="1"/>
        <v>0</v>
      </c>
    </row>
    <row r="18" spans="1:13" ht="24.75" hidden="1" customHeight="1" x14ac:dyDescent="0.2">
      <c r="A18" s="24" t="str">
        <f t="shared" si="2"/>
        <v/>
      </c>
      <c r="B18" s="30" t="str">
        <f t="array" ref="B18">IF(ROW()-4&lt;='Pool Settings'!$C$6, INDEX('Pool Settings'!$B$16:$B$100, ROW()-4), "")</f>
        <v/>
      </c>
      <c r="C18" s="31" t="str">
        <f>IF(OR($B18="", MOD(COLUMN()-3,2)=1, INT((COLUMN()-3)/2)+1&gt;'Pool Settings'!$C$7), "", "")</f>
        <v/>
      </c>
      <c r="D18" s="34">
        <v>0</v>
      </c>
      <c r="E18" s="31" t="str">
        <f>IF(OR($B18="", MOD(COLUMN()-3,2)=1, INT((COLUMN()-3)/2)+1&gt;'Pool Settings'!$C$7), "", "")</f>
        <v/>
      </c>
      <c r="F18" s="34">
        <v>0</v>
      </c>
      <c r="G18" s="31" t="str">
        <f>IF(OR($B18="", MOD(COLUMN()-3,2)=1, INT((COLUMN()-3)/2)+1&gt;'Pool Settings'!$C$7), "", "")</f>
        <v/>
      </c>
      <c r="H18" s="34">
        <v>0</v>
      </c>
      <c r="I18" s="31" t="str">
        <f>IF(OR($B18="", MOD(COLUMN()-3,2)=1, INT((COLUMN()-3)/2)+1&gt;'Pool Settings'!$C$7), "", "")</f>
        <v/>
      </c>
      <c r="J18" s="34">
        <v>0</v>
      </c>
      <c r="K18" s="31" t="str">
        <f>IF(OR($B18="", MOD(COLUMN()-3,2)=1, INT((COLUMN()-3)/2)+1&gt;'Pool Settings'!$C$7), "", "")</f>
        <v/>
      </c>
      <c r="L18" s="34">
        <v>0</v>
      </c>
      <c r="M18" s="35">
        <f t="shared" si="1"/>
        <v>0</v>
      </c>
    </row>
    <row r="19" spans="1:13" ht="24.75" hidden="1" customHeight="1" x14ac:dyDescent="0.2">
      <c r="A19" s="24" t="str">
        <f t="shared" si="2"/>
        <v/>
      </c>
      <c r="B19" s="30" t="str">
        <f t="array" ref="B19">IF(ROW()-4&lt;='Pool Settings'!$C$6, INDEX('Pool Settings'!$B$16:$B$100, ROW()-4), "")</f>
        <v/>
      </c>
      <c r="C19" s="31" t="str">
        <f>IF(OR($B19="", MOD(COLUMN()-3,2)=1, INT((COLUMN()-3)/2)+1&gt;'Pool Settings'!$C$7), "", "")</f>
        <v/>
      </c>
      <c r="D19" s="32">
        <v>0</v>
      </c>
      <c r="E19" s="31" t="str">
        <f>IF(OR($B19="", MOD(COLUMN()-3,2)=1, INT((COLUMN()-3)/2)+1&gt;'Pool Settings'!$C$7), "", "")</f>
        <v/>
      </c>
      <c r="F19" s="32">
        <v>0</v>
      </c>
      <c r="G19" s="31" t="str">
        <f>IF(OR($B19="", MOD(COLUMN()-3,2)=1, INT((COLUMN()-3)/2)+1&gt;'Pool Settings'!$C$7), "", "")</f>
        <v/>
      </c>
      <c r="H19" s="32">
        <v>0</v>
      </c>
      <c r="I19" s="31" t="str">
        <f>IF(OR($B19="", MOD(COLUMN()-3,2)=1, INT((COLUMN()-3)/2)+1&gt;'Pool Settings'!$C$7), "", "")</f>
        <v/>
      </c>
      <c r="J19" s="32">
        <v>0</v>
      </c>
      <c r="K19" s="31" t="str">
        <f>IF(OR($B19="", MOD(COLUMN()-3,2)=1, INT((COLUMN()-3)/2)+1&gt;'Pool Settings'!$C$7), "", "")</f>
        <v/>
      </c>
      <c r="L19" s="32">
        <v>0</v>
      </c>
      <c r="M19" s="33">
        <f t="shared" si="1"/>
        <v>0</v>
      </c>
    </row>
    <row r="20" spans="1:13" ht="15.75" customHeight="1" x14ac:dyDescent="0.2">
      <c r="A20" s="36"/>
      <c r="B20" s="36"/>
    </row>
    <row r="21" spans="1:13" ht="15.75" customHeight="1" x14ac:dyDescent="0.2">
      <c r="A21" s="36"/>
      <c r="B21" s="36"/>
    </row>
    <row r="22" spans="1:13" ht="15.75" customHeight="1" x14ac:dyDescent="0.2">
      <c r="A22" s="36"/>
      <c r="B22" s="36"/>
    </row>
    <row r="23" spans="1:13" ht="15.75" customHeight="1" x14ac:dyDescent="0.2">
      <c r="A23" s="36"/>
      <c r="B23" s="36"/>
    </row>
    <row r="24" spans="1:13" ht="15.75" customHeight="1" x14ac:dyDescent="0.2">
      <c r="A24" s="36"/>
      <c r="B24" s="36"/>
    </row>
    <row r="25" spans="1:13" ht="15.75" customHeight="1" x14ac:dyDescent="0.2">
      <c r="A25" s="36"/>
      <c r="B25" s="36"/>
    </row>
    <row r="26" spans="1:13" ht="15.75" customHeight="1" x14ac:dyDescent="0.2">
      <c r="A26" s="36"/>
      <c r="B26" s="36"/>
    </row>
    <row r="27" spans="1:13" ht="15.75" customHeight="1" x14ac:dyDescent="0.2">
      <c r="A27" s="36"/>
      <c r="B27" s="36"/>
    </row>
    <row r="28" spans="1:13" ht="15.75" customHeight="1" x14ac:dyDescent="0.2">
      <c r="A28" s="36"/>
      <c r="B28" s="36"/>
    </row>
    <row r="29" spans="1:13" ht="15.75" customHeight="1" x14ac:dyDescent="0.2">
      <c r="A29" s="36"/>
      <c r="B29" s="36"/>
    </row>
    <row r="30" spans="1:13" ht="15.75" customHeight="1" x14ac:dyDescent="0.2">
      <c r="A30" s="36"/>
      <c r="B30" s="36"/>
    </row>
    <row r="31" spans="1:13" ht="15.75" customHeight="1" x14ac:dyDescent="0.2">
      <c r="A31" s="36"/>
      <c r="B31" s="36"/>
    </row>
    <row r="32" spans="1:13" ht="15.75" customHeight="1" x14ac:dyDescent="0.2">
      <c r="A32" s="36"/>
      <c r="B32" s="36"/>
    </row>
    <row r="33" spans="1:2" ht="15.75" customHeight="1" x14ac:dyDescent="0.2">
      <c r="A33" s="36"/>
      <c r="B33" s="36"/>
    </row>
    <row r="34" spans="1:2" ht="15.75" customHeight="1" x14ac:dyDescent="0.2">
      <c r="A34" s="36"/>
      <c r="B34" s="36"/>
    </row>
    <row r="35" spans="1:2" ht="15.75" customHeight="1" x14ac:dyDescent="0.2">
      <c r="A35" s="36"/>
      <c r="B35" s="36"/>
    </row>
    <row r="36" spans="1:2" ht="15.75" customHeight="1" x14ac:dyDescent="0.2">
      <c r="A36" s="36"/>
      <c r="B36" s="36"/>
    </row>
    <row r="37" spans="1:2" ht="15.75" customHeight="1" x14ac:dyDescent="0.2">
      <c r="A37" s="36"/>
      <c r="B37" s="36"/>
    </row>
    <row r="38" spans="1:2" ht="15.75" customHeight="1" x14ac:dyDescent="0.2">
      <c r="A38" s="36"/>
      <c r="B38" s="36"/>
    </row>
    <row r="39" spans="1:2" ht="15.75" customHeight="1" x14ac:dyDescent="0.2">
      <c r="A39" s="36"/>
      <c r="B39" s="36"/>
    </row>
    <row r="40" spans="1:2" ht="15.75" customHeight="1" x14ac:dyDescent="0.2">
      <c r="A40" s="36"/>
      <c r="B40" s="36"/>
    </row>
    <row r="41" spans="1:2" ht="15.75" customHeight="1" x14ac:dyDescent="0.2">
      <c r="A41" s="36"/>
      <c r="B41" s="36"/>
    </row>
    <row r="42" spans="1:2" ht="15.75" customHeight="1" x14ac:dyDescent="0.2">
      <c r="A42" s="36"/>
      <c r="B42" s="36"/>
    </row>
    <row r="43" spans="1:2" ht="15.75" customHeight="1" x14ac:dyDescent="0.2">
      <c r="A43" s="36"/>
      <c r="B43" s="36"/>
    </row>
    <row r="44" spans="1:2" ht="15.75" customHeight="1" x14ac:dyDescent="0.2">
      <c r="A44" s="36"/>
      <c r="B44" s="36"/>
    </row>
    <row r="45" spans="1:2" ht="15.75" customHeight="1" x14ac:dyDescent="0.2">
      <c r="A45" s="36"/>
      <c r="B45" s="36"/>
    </row>
    <row r="46" spans="1:2" ht="15.75" customHeight="1" x14ac:dyDescent="0.2">
      <c r="A46" s="36"/>
      <c r="B46" s="36"/>
    </row>
    <row r="47" spans="1:2" ht="15.75" customHeight="1" x14ac:dyDescent="0.2">
      <c r="A47" s="36"/>
      <c r="B47" s="36"/>
    </row>
    <row r="48" spans="1:2" ht="15.75" customHeight="1" x14ac:dyDescent="0.2">
      <c r="A48" s="36"/>
      <c r="B48" s="36"/>
    </row>
    <row r="49" spans="2:2" ht="15.75" customHeight="1" x14ac:dyDescent="0.2">
      <c r="B49" s="36"/>
    </row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/>
    <row r="54" spans="2:2" ht="15.75" customHeight="1" x14ac:dyDescent="0.2"/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2">
    <mergeCell ref="A2:M2"/>
    <mergeCell ref="C3:M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Masters Field &amp; Odds</vt:lpstr>
      <vt:lpstr>Pool Settings</vt:lpstr>
      <vt:lpstr>Auction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Weinhold, Tommy</cp:lastModifiedBy>
  <dcterms:created xsi:type="dcterms:W3CDTF">2026-04-06T23:48:27Z</dcterms:created>
  <dcterms:modified xsi:type="dcterms:W3CDTF">2026-04-08T22:54:21Z</dcterms:modified>
</cp:coreProperties>
</file>